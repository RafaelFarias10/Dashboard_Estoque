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tagiario Fiscal\Downloads\"/>
    </mc:Choice>
  </mc:AlternateContent>
  <bookViews>
    <workbookView xWindow="0" yWindow="0" windowWidth="23040" windowHeight="9192"/>
  </bookViews>
  <sheets>
    <sheet name="ESTOQUE" sheetId="1" r:id="rId1"/>
    <sheet name="MOVIMENTAÇÕE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F32" i="1" l="1"/>
  <c r="F15" i="1"/>
  <c r="F30" i="1"/>
  <c r="F26" i="1"/>
  <c r="F22" i="1"/>
  <c r="F18" i="1"/>
  <c r="F14" i="1"/>
  <c r="F10" i="1"/>
  <c r="F31" i="1"/>
  <c r="F27" i="1"/>
  <c r="F19" i="1"/>
  <c r="F11" i="1"/>
  <c r="F7" i="1"/>
  <c r="F34" i="1"/>
  <c r="F35" i="1"/>
  <c r="F16" i="1"/>
  <c r="F24" i="1"/>
  <c r="F8" i="1"/>
  <c r="F28" i="1"/>
  <c r="F20" i="1"/>
  <c r="F12" i="1"/>
  <c r="F23" i="1"/>
  <c r="F33" i="1"/>
  <c r="F29" i="1"/>
  <c r="F25" i="1"/>
  <c r="F21" i="1"/>
  <c r="F17" i="1"/>
  <c r="F13" i="1"/>
  <c r="F9" i="1"/>
  <c r="D6" i="1"/>
  <c r="E6" i="1"/>
  <c r="D5" i="1"/>
  <c r="E5" i="1"/>
  <c r="D4" i="1"/>
  <c r="E4" i="1"/>
  <c r="F6" i="1" l="1"/>
  <c r="F4" i="1"/>
  <c r="F5" i="1"/>
</calcChain>
</file>

<file path=xl/sharedStrings.xml><?xml version="1.0" encoding="utf-8"?>
<sst xmlns="http://schemas.openxmlformats.org/spreadsheetml/2006/main" count="491" uniqueCount="119">
  <si>
    <t>ESTOQUE</t>
  </si>
  <si>
    <t>MOVIMENTAÇÕES</t>
  </si>
  <si>
    <t>NOME PRODUTO</t>
  </si>
  <si>
    <t>ENTRADAS</t>
  </si>
  <si>
    <t>SAIDAS</t>
  </si>
  <si>
    <t>SALDO</t>
  </si>
  <si>
    <t>ESTOQUE INICIAL</t>
  </si>
  <si>
    <t>ENTRADA</t>
  </si>
  <si>
    <t>DATA</t>
  </si>
  <si>
    <t>SAÍDA</t>
  </si>
  <si>
    <t>VALOR</t>
  </si>
  <si>
    <t>OBSERVAÇÃO</t>
  </si>
  <si>
    <t>CUSTO TOTAL</t>
  </si>
  <si>
    <t>VENDA TOTAL</t>
  </si>
  <si>
    <t>Notebook</t>
  </si>
  <si>
    <t>Playstation 5</t>
  </si>
  <si>
    <t>Iphone 16</t>
  </si>
  <si>
    <t>Televisão 50 PL</t>
  </si>
  <si>
    <t>Xbox</t>
  </si>
  <si>
    <t>Geladeira</t>
  </si>
  <si>
    <t>SmartWatch</t>
  </si>
  <si>
    <t>Cafeteira</t>
  </si>
  <si>
    <t>Fogão</t>
  </si>
  <si>
    <t>Ar - Condicionado</t>
  </si>
  <si>
    <t>Air Fryer</t>
  </si>
  <si>
    <t>Televisão 32 PL</t>
  </si>
  <si>
    <t>Máquina de lavar</t>
  </si>
  <si>
    <t>Computador</t>
  </si>
  <si>
    <t>Aspirador de pó</t>
  </si>
  <si>
    <t>Panela elétrica</t>
  </si>
  <si>
    <t>Panela</t>
  </si>
  <si>
    <t>Aquecedor</t>
  </si>
  <si>
    <t>Ventilador</t>
  </si>
  <si>
    <t>Micro-ondas</t>
  </si>
  <si>
    <t>Lava-louças</t>
  </si>
  <si>
    <t>Sanduicheira</t>
  </si>
  <si>
    <t>Máquina de gelo</t>
  </si>
  <si>
    <t>Playstation 4</t>
  </si>
  <si>
    <t>Nintendo switch</t>
  </si>
  <si>
    <t>Filtro</t>
  </si>
  <si>
    <t>Purificador de ar</t>
  </si>
  <si>
    <t>Robô aspirador</t>
  </si>
  <si>
    <t>Geladeira smart</t>
  </si>
  <si>
    <t>Alexa</t>
  </si>
  <si>
    <t>Fechadura digital inteligente</t>
  </si>
  <si>
    <t>Playstation 2</t>
  </si>
  <si>
    <t>29/01/2026</t>
  </si>
  <si>
    <t>02/02/2026</t>
  </si>
  <si>
    <t>16/02/2026</t>
  </si>
  <si>
    <t>28/02/2026</t>
  </si>
  <si>
    <t>13/02/2026</t>
  </si>
  <si>
    <t>23/01/2026</t>
  </si>
  <si>
    <t>20/01/2026</t>
  </si>
  <si>
    <t>07/01/2026</t>
  </si>
  <si>
    <t>09/02/2026</t>
  </si>
  <si>
    <t>13/01/2026</t>
  </si>
  <si>
    <t>18/02/2026</t>
  </si>
  <si>
    <t>19/01/2026</t>
  </si>
  <si>
    <t>02/01/2026</t>
  </si>
  <si>
    <t>18/01/2026</t>
  </si>
  <si>
    <t>01/03/2026</t>
  </si>
  <si>
    <t>14/01/2026</t>
  </si>
  <si>
    <t>28/01/2026</t>
  </si>
  <si>
    <t>15/02/2026</t>
  </si>
  <si>
    <t>03/01/2026</t>
  </si>
  <si>
    <t>04/02/2026</t>
  </si>
  <si>
    <t>09/01/2026</t>
  </si>
  <si>
    <t>14/02/2026</t>
  </si>
  <si>
    <t>22/02/2026</t>
  </si>
  <si>
    <t>24/01/2026</t>
  </si>
  <si>
    <t>17/01/2026</t>
  </si>
  <si>
    <t>12/01/2026</t>
  </si>
  <si>
    <t>22/01/2026</t>
  </si>
  <si>
    <t>15/01/2026</t>
  </si>
  <si>
    <t>30/01/2026</t>
  </si>
  <si>
    <t>26/01/2026</t>
  </si>
  <si>
    <t>21/01/2026</t>
  </si>
  <si>
    <t>31/01/2026</t>
  </si>
  <si>
    <t>11/02/2026</t>
  </si>
  <si>
    <t>27/02/2026</t>
  </si>
  <si>
    <t>25/02/2026</t>
  </si>
  <si>
    <t>25/01/2026</t>
  </si>
  <si>
    <t>24/02/2026</t>
  </si>
  <si>
    <t>03/02/2026</t>
  </si>
  <si>
    <t>08/02/2026</t>
  </si>
  <si>
    <t>02/03/2026</t>
  </si>
  <si>
    <t>10/02/2026</t>
  </si>
  <si>
    <t>17/02/2026</t>
  </si>
  <si>
    <t>07/02/2026</t>
  </si>
  <si>
    <t>27/01/2026</t>
  </si>
  <si>
    <t>26/02/2026</t>
  </si>
  <si>
    <t>23/02/2026</t>
  </si>
  <si>
    <t>12/02/2026</t>
  </si>
  <si>
    <t>15/03/2026</t>
  </si>
  <si>
    <t>12/03/2026</t>
  </si>
  <si>
    <t>09/03/2026</t>
  </si>
  <si>
    <t>29/03/2026</t>
  </si>
  <si>
    <t>18/03/2026</t>
  </si>
  <si>
    <t>10/03/2026</t>
  </si>
  <si>
    <t>04/03/2026</t>
  </si>
  <si>
    <t>07/03/2026</t>
  </si>
  <si>
    <t>24/03/2026</t>
  </si>
  <si>
    <t>06/03/2026</t>
  </si>
  <si>
    <t>11/03/2026</t>
  </si>
  <si>
    <t>19/03/2026</t>
  </si>
  <si>
    <t>13/03/2026</t>
  </si>
  <si>
    <t>21/02/2026</t>
  </si>
  <si>
    <t>08/03/2026</t>
  </si>
  <si>
    <t>05/02/2026</t>
  </si>
  <si>
    <t>05/03/2026</t>
  </si>
  <si>
    <t>22/03/2026</t>
  </si>
  <si>
    <t>11/01/2026</t>
  </si>
  <si>
    <t>17/03/2026</t>
  </si>
  <si>
    <t>08/04/2026</t>
  </si>
  <si>
    <t>14/03/2026</t>
  </si>
  <si>
    <t>27/03/2026</t>
  </si>
  <si>
    <t>01/04/2026</t>
  </si>
  <si>
    <t>26/03/2026</t>
  </si>
  <si>
    <t>02/04/2026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</si>
</sst>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A0A0A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53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10" borderId="2" xfId="0" applyFont="1" applyFill="1" applyBorder="1" applyAlignment="1">
      <alignment horizontal="center"/>
    </xf>
    <xf numFmtId="14" fontId="5" fillId="10" borderId="6" xfId="0" applyNumberFormat="1" applyFont="1" applyFill="1" applyBorder="1" applyAlignment="1">
      <alignment horizontal="center"/>
    </xf>
    <xf numFmtId="44" fontId="0" fillId="0" borderId="2" xfId="1" applyFont="1" applyBorder="1" applyAlignment="1">
      <alignment horizontal="center"/>
    </xf>
    <xf numFmtId="0" fontId="0" fillId="9" borderId="7" xfId="0" applyNumberFormat="1" applyFill="1" applyBorder="1" applyAlignment="1">
      <alignment horizontal="center"/>
    </xf>
    <xf numFmtId="0" fontId="0" fillId="7" borderId="7" xfId="0" applyNumberFormat="1" applyFill="1" applyBorder="1" applyAlignment="1">
      <alignment horizontal="center"/>
    </xf>
    <xf numFmtId="0" fontId="0" fillId="5" borderId="7" xfId="0" applyNumberFormat="1" applyFill="1" applyBorder="1" applyAlignment="1">
      <alignment horizontal="center"/>
    </xf>
    <xf numFmtId="44" fontId="5" fillId="0" borderId="7" xfId="1" applyNumberFormat="1" applyFont="1" applyBorder="1" applyAlignment="1">
      <alignment horizontal="center"/>
    </xf>
    <xf numFmtId="44" fontId="0" fillId="0" borderId="8" xfId="1" applyNumberFormat="1" applyFont="1" applyBorder="1" applyAlignment="1">
      <alignment horizontal="center"/>
    </xf>
    <xf numFmtId="0" fontId="6" fillId="0" borderId="0" xfId="0" applyFont="1"/>
    <xf numFmtId="0" fontId="0" fillId="9" borderId="1" xfId="0" applyNumberFormat="1" applyFill="1" applyBorder="1" applyAlignment="1">
      <alignment horizontal="center"/>
    </xf>
    <xf numFmtId="0" fontId="0" fillId="7" borderId="1" xfId="0" applyNumberFormat="1" applyFill="1" applyBorder="1" applyAlignment="1">
      <alignment horizontal="center"/>
    </xf>
    <xf numFmtId="0" fontId="0" fillId="5" borderId="1" xfId="0" applyNumberFormat="1" applyFill="1" applyBorder="1" applyAlignment="1">
      <alignment horizontal="center"/>
    </xf>
    <xf numFmtId="44" fontId="5" fillId="0" borderId="1" xfId="1" applyNumberFormat="1" applyFont="1" applyBorder="1" applyAlignment="1">
      <alignment horizontal="center"/>
    </xf>
    <xf numFmtId="44" fontId="0" fillId="0" borderId="2" xfId="1" applyNumberFormat="1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/>
    </xf>
    <xf numFmtId="14" fontId="0" fillId="10" borderId="6" xfId="0" applyNumberFormat="1" applyFont="1" applyFill="1" applyBorder="1" applyAlignment="1">
      <alignment horizontal="center"/>
    </xf>
    <xf numFmtId="0" fontId="0" fillId="9" borderId="7" xfId="0" applyFont="1" applyFill="1" applyBorder="1" applyAlignment="1">
      <alignment horizontal="center"/>
    </xf>
    <xf numFmtId="0" fontId="0" fillId="7" borderId="7" xfId="0" applyFont="1" applyFill="1" applyBorder="1" applyAlignment="1">
      <alignment horizontal="center"/>
    </xf>
    <xf numFmtId="0" fontId="0" fillId="10" borderId="8" xfId="0" applyFont="1" applyFill="1" applyBorder="1" applyAlignment="1">
      <alignment horizontal="center"/>
    </xf>
    <xf numFmtId="0" fontId="7" fillId="0" borderId="0" xfId="0" applyFont="1"/>
    <xf numFmtId="14" fontId="0" fillId="10" borderId="9" xfId="0" applyNumberFormat="1" applyFont="1" applyFill="1" applyBorder="1" applyAlignment="1">
      <alignment horizontal="center"/>
    </xf>
    <xf numFmtId="0" fontId="6" fillId="10" borderId="7" xfId="0" applyFont="1" applyFill="1" applyBorder="1" applyAlignment="1">
      <alignment horizontal="center"/>
    </xf>
    <xf numFmtId="164" fontId="0" fillId="2" borderId="0" xfId="0" applyNumberFormat="1" applyFill="1"/>
    <xf numFmtId="164" fontId="2" fillId="3" borderId="4" xfId="1" applyNumberFormat="1" applyFont="1" applyFill="1" applyBorder="1" applyAlignment="1">
      <alignment horizontal="center"/>
    </xf>
    <xf numFmtId="164" fontId="0" fillId="10" borderId="1" xfId="1" applyNumberFormat="1" applyFont="1" applyFill="1" applyBorder="1" applyAlignment="1">
      <alignment horizontal="center"/>
    </xf>
    <xf numFmtId="164" fontId="5" fillId="10" borderId="7" xfId="1" applyNumberFormat="1" applyFont="1" applyFill="1" applyBorder="1" applyAlignment="1">
      <alignment horizontal="center"/>
    </xf>
    <xf numFmtId="164" fontId="0" fillId="0" borderId="0" xfId="0" applyNumberFormat="1"/>
    <xf numFmtId="164" fontId="0" fillId="10" borderId="7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Moeda" xfId="1" builtinId="4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[$R$-416]\ * #,##0.00_-;\-[$R$-416]\ * #,##0.00_-;_-[$R$-416]\ 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894343"/>
      <color rgb="FFB715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B3:H35" totalsRowShown="0" headerRowBorderDxfId="21" tableBorderDxfId="20" totalsRowBorderDxfId="19">
  <autoFilter ref="B3:H35"/>
  <tableColumns count="7">
    <tableColumn id="1" name="NOME PRODUTO" dataDxfId="18"/>
    <tableColumn id="2" name="ESTOQUE INICIAL" dataDxfId="17"/>
    <tableColumn id="3" name="ENTRADAS" dataDxfId="16">
      <calculatedColumnFormula>SUMIF(Tabela2[[#All],[NOME PRODUTO]],Tabela1[[#This Row],[NOME PRODUTO]],Tabela2[[#All],[ENTRADA]])</calculatedColumnFormula>
    </tableColumn>
    <tableColumn id="4" name="SAIDAS" dataDxfId="15">
      <calculatedColumnFormula>SUMIF(Tabela2[NOME PRODUTO],Tabela1[[#This Row],[NOME PRODUTO]],Tabela2[SAÍDA])</calculatedColumnFormula>
    </tableColumn>
    <tableColumn id="5" name="SALDO" dataDxfId="14">
      <calculatedColumnFormula>C4+D4-E4</calculatedColumnFormula>
    </tableColumn>
    <tableColumn id="6" name="CUSTO TOTAL" dataDxfId="13" dataCellStyle="Moeda">
      <calculatedColumnFormula>SUMIFS(Tabela2[[#All],[VALOR]],Tabela2[[#All],[NOME PRODUTO]],Tabela1[[#This Row],[NOME PRODUTO]],Tabela2[[#All],[ENTRADA]],"&gt;0")</calculatedColumnFormula>
    </tableColumn>
    <tableColumn id="7" name="VENDA TOTAL" dataDxfId="12" dataCellStyle="Moeda">
      <calculatedColumnFormula>SUMIFS(Tabela2[[#All],[VALOR]],Tabela2[[#All],[NOME PRODUTO]],Tabela1[[#This Row],[NOME PRODUTO]],Tabela2[[#All],[SAÍDA]],"&gt;0")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B3:G250" totalsRowShown="0" headerRowDxfId="9" headerRowBorderDxfId="8" tableBorderDxfId="7" totalsRowBorderDxfId="6">
  <autoFilter ref="B3:G250"/>
  <tableColumns count="6">
    <tableColumn id="1" name="DATA" dataDxfId="5"/>
    <tableColumn id="2" name="NOME PRODUTO" dataDxfId="4"/>
    <tableColumn id="3" name="ENTRADA" dataDxfId="3"/>
    <tableColumn id="4" name="SAÍDA" dataDxfId="2"/>
    <tableColumn id="5" name="VALOR" dataDxfId="0" dataCellStyle="Moeda"/>
    <tableColumn id="6" name="OBSERVAÇÃO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workbookViewId="0">
      <selection activeCell="F14" sqref="F14"/>
    </sheetView>
  </sheetViews>
  <sheetFormatPr defaultRowHeight="14.4" x14ac:dyDescent="0.3"/>
  <cols>
    <col min="2" max="2" width="26.77734375" customWidth="1"/>
    <col min="3" max="3" width="27.109375" customWidth="1"/>
    <col min="4" max="8" width="26" customWidth="1"/>
    <col min="9" max="9" width="15.6640625" customWidth="1"/>
  </cols>
  <sheetData>
    <row r="1" spans="1:8" s="2" customFormat="1" ht="41.25" customHeight="1" x14ac:dyDescent="0.3">
      <c r="A1" s="1" t="s">
        <v>0</v>
      </c>
    </row>
    <row r="3" spans="1:8" ht="23.4" x14ac:dyDescent="0.45">
      <c r="B3" s="11" t="s">
        <v>2</v>
      </c>
      <c r="C3" s="12" t="s">
        <v>6</v>
      </c>
      <c r="D3" s="13" t="s">
        <v>3</v>
      </c>
      <c r="E3" s="14" t="s">
        <v>4</v>
      </c>
      <c r="F3" s="15" t="s">
        <v>5</v>
      </c>
      <c r="G3" s="12" t="s">
        <v>12</v>
      </c>
      <c r="H3" s="16" t="s">
        <v>13</v>
      </c>
    </row>
    <row r="4" spans="1:8" x14ac:dyDescent="0.3">
      <c r="B4" s="26" t="s">
        <v>14</v>
      </c>
      <c r="C4" s="4">
        <v>50</v>
      </c>
      <c r="D4" s="6">
        <f>SUMIF(Tabela2[[#All],[NOME PRODUTO]],Tabela1[[#This Row],[NOME PRODUTO]],Tabela2[[#All],[ENTRADA]])</f>
        <v>10</v>
      </c>
      <c r="E4" s="7">
        <f>SUMIF(Tabela2[NOME PRODUTO],Tabela1[[#This Row],[NOME PRODUTO]],Tabela2[SAÍDA])</f>
        <v>44</v>
      </c>
      <c r="F4" s="5">
        <f>C4+D4-E4</f>
        <v>16</v>
      </c>
      <c r="G4" s="10">
        <f>SUMIFS(Tabela2[[#All],[VALOR]],Tabela2[[#All],[NOME PRODUTO]],Tabela1[[#This Row],[NOME PRODUTO]],Tabela2[[#All],[ENTRADA]],"&gt;0")</f>
        <v>15000</v>
      </c>
      <c r="H4" s="20">
        <f>SUMIFS(Tabela2[[#All],[VALOR]],Tabela2[[#All],[NOME PRODUTO]],Tabela1[[#This Row],[NOME PRODUTO]],Tabela2[[#All],[SAÍDA]],"&gt;0")</f>
        <v>56250.22</v>
      </c>
    </row>
    <row r="5" spans="1:8" x14ac:dyDescent="0.3">
      <c r="B5" s="26" t="s">
        <v>15</v>
      </c>
      <c r="C5" s="17">
        <v>75</v>
      </c>
      <c r="D5" s="21">
        <f>SUMIF(Tabela2[[#All],[NOME PRODUTO]],Tabela1[[#This Row],[NOME PRODUTO]],Tabela2[[#All],[ENTRADA]])</f>
        <v>5</v>
      </c>
      <c r="E5" s="22">
        <f>SUMIF(Tabela2[NOME PRODUTO],Tabela1[[#This Row],[NOME PRODUTO]],Tabela2[SAÍDA])</f>
        <v>33</v>
      </c>
      <c r="F5" s="23">
        <f>C5+D5-E5</f>
        <v>47</v>
      </c>
      <c r="G5" s="24">
        <f>SUMIFS(Tabela2[[#All],[VALOR]],Tabela2[[#All],[NOME PRODUTO]],Tabela1[[#This Row],[NOME PRODUTO]],Tabela2[[#All],[ENTRADA]],"&gt;0")</f>
        <v>22000</v>
      </c>
      <c r="H5" s="25">
        <f>SUMIFS(Tabela2[[#All],[VALOR]],Tabela2[[#All],[NOME PRODUTO]],Tabela1[[#This Row],[NOME PRODUTO]],Tabela2[[#All],[SAÍDA]],"&gt;0")</f>
        <v>101126.81</v>
      </c>
    </row>
    <row r="6" spans="1:8" x14ac:dyDescent="0.3">
      <c r="B6" s="26" t="s">
        <v>16</v>
      </c>
      <c r="C6" s="17">
        <v>11</v>
      </c>
      <c r="D6" s="21">
        <f>SUMIF(Tabela2[[#All],[NOME PRODUTO]],Tabela1[[#This Row],[NOME PRODUTO]],Tabela2[[#All],[ENTRADA]])</f>
        <v>142</v>
      </c>
      <c r="E6" s="22">
        <f>SUMIF(Tabela2[NOME PRODUTO],Tabela1[[#This Row],[NOME PRODUTO]],Tabela2[SAÍDA])</f>
        <v>152</v>
      </c>
      <c r="F6" s="23">
        <f>C6+D6-E6</f>
        <v>1</v>
      </c>
      <c r="G6" s="24">
        <f>SUMIFS(Tabela2[[#All],[VALOR]],Tabela2[[#All],[NOME PRODUTO]],Tabela1[[#This Row],[NOME PRODUTO]],Tabela2[[#All],[ENTRADA]],"&gt;0")</f>
        <v>103000</v>
      </c>
      <c r="H6" s="25">
        <f>SUMIFS(Tabela2[[#All],[VALOR]],Tabela2[[#All],[NOME PRODUTO]],Tabela1[[#This Row],[NOME PRODUTO]],Tabela2[[#All],[SAÍDA]],"&gt;0")</f>
        <v>154283.30000000002</v>
      </c>
    </row>
    <row r="7" spans="1:8" x14ac:dyDescent="0.3">
      <c r="B7" s="26" t="s">
        <v>17</v>
      </c>
      <c r="C7" s="4">
        <v>65</v>
      </c>
      <c r="D7" s="27">
        <f>SUMIF(Tabela2[[#All],[NOME PRODUTO]],Tabela1[[#This Row],[NOME PRODUTO]],Tabela2[[#All],[ENTRADA]])</f>
        <v>20</v>
      </c>
      <c r="E7" s="28">
        <f>SUMIF(Tabela2[NOME PRODUTO],Tabela1[[#This Row],[NOME PRODUTO]],Tabela2[SAÍDA])</f>
        <v>64</v>
      </c>
      <c r="F7" s="29">
        <f t="shared" ref="F7:F35" si="0">C7+D7-E7</f>
        <v>21</v>
      </c>
      <c r="G7" s="30">
        <f>SUMIFS(Tabela2[[#All],[VALOR]],Tabela2[[#All],[NOME PRODUTO]],Tabela1[[#This Row],[NOME PRODUTO]],Tabela2[[#All],[ENTRADA]],"&gt;0")</f>
        <v>17000</v>
      </c>
      <c r="H7" s="31">
        <f>SUMIFS(Tabela2[[#All],[VALOR]],Tabela2[[#All],[NOME PRODUTO]],Tabela1[[#This Row],[NOME PRODUTO]],Tabela2[[#All],[SAÍDA]],"&gt;0")</f>
        <v>35261.899999999994</v>
      </c>
    </row>
    <row r="8" spans="1:8" x14ac:dyDescent="0.3">
      <c r="B8" s="26" t="s">
        <v>18</v>
      </c>
      <c r="C8" s="4">
        <v>52</v>
      </c>
      <c r="D8" s="27">
        <f>SUMIF(Tabela2[[#All],[NOME PRODUTO]],Tabela1[[#This Row],[NOME PRODUTO]],Tabela2[[#All],[ENTRADA]])</f>
        <v>100</v>
      </c>
      <c r="E8" s="28">
        <f>SUMIF(Tabela2[NOME PRODUTO],Tabela1[[#This Row],[NOME PRODUTO]],Tabela2[SAÍDA])</f>
        <v>149</v>
      </c>
      <c r="F8" s="29">
        <f t="shared" si="0"/>
        <v>3</v>
      </c>
      <c r="G8" s="30">
        <f>SUMIFS(Tabela2[[#All],[VALOR]],Tabela2[[#All],[NOME PRODUTO]],Tabela1[[#This Row],[NOME PRODUTO]],Tabela2[[#All],[ENTRADA]],"&gt;0")</f>
        <v>39000</v>
      </c>
      <c r="H8" s="31">
        <f>SUMIFS(Tabela2[[#All],[VALOR]],Tabela2[[#All],[NOME PRODUTO]],Tabela1[[#This Row],[NOME PRODUTO]],Tabela2[[#All],[SAÍDA]],"&gt;0")</f>
        <v>57821.89</v>
      </c>
    </row>
    <row r="9" spans="1:8" x14ac:dyDescent="0.3">
      <c r="B9" s="26" t="s">
        <v>19</v>
      </c>
      <c r="C9" s="4">
        <v>2</v>
      </c>
      <c r="D9" s="27">
        <f>SUMIF(Tabela2[[#All],[NOME PRODUTO]],Tabela1[[#This Row],[NOME PRODUTO]],Tabela2[[#All],[ENTRADA]])</f>
        <v>100</v>
      </c>
      <c r="E9" s="28">
        <f>SUMIF(Tabela2[NOME PRODUTO],Tabela1[[#This Row],[NOME PRODUTO]],Tabela2[SAÍDA])</f>
        <v>99</v>
      </c>
      <c r="F9" s="29">
        <f t="shared" si="0"/>
        <v>3</v>
      </c>
      <c r="G9" s="30">
        <f>SUMIFS(Tabela2[[#All],[VALOR]],Tabela2[[#All],[NOME PRODUTO]],Tabela1[[#This Row],[NOME PRODUTO]],Tabela2[[#All],[ENTRADA]],"&gt;0")</f>
        <v>82000</v>
      </c>
      <c r="H9" s="31">
        <f>SUMIFS(Tabela2[[#All],[VALOR]],Tabela2[[#All],[NOME PRODUTO]],Tabela1[[#This Row],[NOME PRODUTO]],Tabela2[[#All],[SAÍDA]],"&gt;0")</f>
        <v>36493.24</v>
      </c>
    </row>
    <row r="10" spans="1:8" x14ac:dyDescent="0.3">
      <c r="B10" s="26" t="s">
        <v>20</v>
      </c>
      <c r="C10" s="4">
        <v>0</v>
      </c>
      <c r="D10" s="27">
        <f>SUMIF(Tabela2[[#All],[NOME PRODUTO]],Tabela1[[#This Row],[NOME PRODUTO]],Tabela2[[#All],[ENTRADA]])</f>
        <v>80</v>
      </c>
      <c r="E10" s="28">
        <f>SUMIF(Tabela2[NOME PRODUTO],Tabela1[[#This Row],[NOME PRODUTO]],Tabela2[SAÍDA])</f>
        <v>69</v>
      </c>
      <c r="F10" s="29">
        <f t="shared" si="0"/>
        <v>11</v>
      </c>
      <c r="G10" s="30">
        <f>SUMIFS(Tabela2[[#All],[VALOR]],Tabela2[[#All],[NOME PRODUTO]],Tabela1[[#This Row],[NOME PRODUTO]],Tabela2[[#All],[ENTRADA]],"&gt;0")</f>
        <v>11000</v>
      </c>
      <c r="H10" s="31">
        <f>SUMIFS(Tabela2[[#All],[VALOR]],Tabela2[[#All],[NOME PRODUTO]],Tabela1[[#This Row],[NOME PRODUTO]],Tabela2[[#All],[SAÍDA]],"&gt;0")</f>
        <v>29280.879999999997</v>
      </c>
    </row>
    <row r="11" spans="1:8" x14ac:dyDescent="0.3">
      <c r="B11" s="41" t="s">
        <v>21</v>
      </c>
      <c r="C11" s="4">
        <v>9</v>
      </c>
      <c r="D11" s="27">
        <f>SUMIF(Tabela2[[#All],[NOME PRODUTO]],Tabela1[[#This Row],[NOME PRODUTO]],Tabela2[[#All],[ENTRADA]])</f>
        <v>70</v>
      </c>
      <c r="E11" s="28">
        <f>SUMIF(Tabela2[NOME PRODUTO],Tabela1[[#This Row],[NOME PRODUTO]],Tabela2[SAÍDA])</f>
        <v>50</v>
      </c>
      <c r="F11" s="29">
        <f t="shared" si="0"/>
        <v>29</v>
      </c>
      <c r="G11" s="30">
        <f>SUMIFS(Tabela2[[#All],[VALOR]],Tabela2[[#All],[NOME PRODUTO]],Tabela1[[#This Row],[NOME PRODUTO]],Tabela2[[#All],[ENTRADA]],"&gt;0")</f>
        <v>10000</v>
      </c>
      <c r="H11" s="31">
        <f>SUMIFS(Tabela2[[#All],[VALOR]],Tabela2[[#All],[NOME PRODUTO]],Tabela1[[#This Row],[NOME PRODUTO]],Tabela2[[#All],[SAÍDA]],"&gt;0")</f>
        <v>23795.569999999996</v>
      </c>
    </row>
    <row r="12" spans="1:8" x14ac:dyDescent="0.3">
      <c r="B12" s="26" t="s">
        <v>22</v>
      </c>
      <c r="C12" s="4">
        <v>112</v>
      </c>
      <c r="D12" s="27">
        <f>SUMIF(Tabela2[[#All],[NOME PRODUTO]],Tabela1[[#This Row],[NOME PRODUTO]],Tabela2[[#All],[ENTRADA]])</f>
        <v>26</v>
      </c>
      <c r="E12" s="28">
        <f>SUMIF(Tabela2[NOME PRODUTO],Tabela1[[#This Row],[NOME PRODUTO]],Tabela2[SAÍDA])</f>
        <v>112</v>
      </c>
      <c r="F12" s="29">
        <f t="shared" si="0"/>
        <v>26</v>
      </c>
      <c r="G12" s="30">
        <f>SUMIFS(Tabela2[[#All],[VALOR]],Tabela2[[#All],[NOME PRODUTO]],Tabela1[[#This Row],[NOME PRODUTO]],Tabela2[[#All],[ENTRADA]],"&gt;0")</f>
        <v>8000</v>
      </c>
      <c r="H12" s="31">
        <f>SUMIFS(Tabela2[[#All],[VALOR]],Tabela2[[#All],[NOME PRODUTO]],Tabela1[[#This Row],[NOME PRODUTO]],Tabela2[[#All],[SAÍDA]],"&gt;0")</f>
        <v>66751.87</v>
      </c>
    </row>
    <row r="13" spans="1:8" x14ac:dyDescent="0.3">
      <c r="B13" s="26" t="s">
        <v>23</v>
      </c>
      <c r="C13" s="4">
        <v>19</v>
      </c>
      <c r="D13" s="27">
        <f>SUMIF(Tabela2[[#All],[NOME PRODUTO]],Tabela1[[#This Row],[NOME PRODUTO]],Tabela2[[#All],[ENTRADA]])</f>
        <v>160</v>
      </c>
      <c r="E13" s="28">
        <f>SUMIF(Tabela2[NOME PRODUTO],Tabela1[[#This Row],[NOME PRODUTO]],Tabela2[SAÍDA])</f>
        <v>170</v>
      </c>
      <c r="F13" s="29">
        <f t="shared" si="0"/>
        <v>9</v>
      </c>
      <c r="G13" s="30">
        <f>SUMIFS(Tabela2[[#All],[VALOR]],Tabela2[[#All],[NOME PRODUTO]],Tabela1[[#This Row],[NOME PRODUTO]],Tabela2[[#All],[ENTRADA]],"&gt;0")</f>
        <v>36000</v>
      </c>
      <c r="H13" s="31">
        <f>SUMIFS(Tabela2[[#All],[VALOR]],Tabela2[[#All],[NOME PRODUTO]],Tabela1[[#This Row],[NOME PRODUTO]],Tabela2[[#All],[SAÍDA]],"&gt;0")</f>
        <v>53117.86</v>
      </c>
    </row>
    <row r="14" spans="1:8" x14ac:dyDescent="0.3">
      <c r="B14" s="26" t="s">
        <v>24</v>
      </c>
      <c r="C14" s="4">
        <v>10</v>
      </c>
      <c r="D14" s="27">
        <f>SUMIF(Tabela2[[#All],[NOME PRODUTO]],Tabela1[[#This Row],[NOME PRODUTO]],Tabela2[[#All],[ENTRADA]])</f>
        <v>330</v>
      </c>
      <c r="E14" s="28">
        <f>SUMIF(Tabela2[NOME PRODUTO],Tabela1[[#This Row],[NOME PRODUTO]],Tabela2[SAÍDA])</f>
        <v>338</v>
      </c>
      <c r="F14" s="29">
        <f t="shared" si="0"/>
        <v>2</v>
      </c>
      <c r="G14" s="30">
        <f>SUMIFS(Tabela2[[#All],[VALOR]],Tabela2[[#All],[NOME PRODUTO]],Tabela1[[#This Row],[NOME PRODUTO]],Tabela2[[#All],[ENTRADA]],"&gt;0")</f>
        <v>60000</v>
      </c>
      <c r="H14" s="31">
        <f>SUMIFS(Tabela2[[#All],[VALOR]],Tabela2[[#All],[NOME PRODUTO]],Tabela1[[#This Row],[NOME PRODUTO]],Tabela2[[#All],[SAÍDA]],"&gt;0")</f>
        <v>137232.4</v>
      </c>
    </row>
    <row r="15" spans="1:8" x14ac:dyDescent="0.3">
      <c r="B15" s="26" t="s">
        <v>25</v>
      </c>
      <c r="C15" s="4">
        <v>10</v>
      </c>
      <c r="D15" s="27">
        <f>SUMIF(Tabela2[[#All],[NOME PRODUTO]],Tabela1[[#This Row],[NOME PRODUTO]],Tabela2[[#All],[ENTRADA]])</f>
        <v>50</v>
      </c>
      <c r="E15" s="28">
        <f>SUMIF(Tabela2[NOME PRODUTO],Tabela1[[#This Row],[NOME PRODUTO]],Tabela2[SAÍDA])</f>
        <v>56</v>
      </c>
      <c r="F15" s="29">
        <f t="shared" si="0"/>
        <v>4</v>
      </c>
      <c r="G15" s="30">
        <f>SUMIFS(Tabela2[[#All],[VALOR]],Tabela2[[#All],[NOME PRODUTO]],Tabela1[[#This Row],[NOME PRODUTO]],Tabela2[[#All],[ENTRADA]],"&gt;0")</f>
        <v>25000</v>
      </c>
      <c r="H15" s="31">
        <f>SUMIFS(Tabela2[[#All],[VALOR]],Tabela2[[#All],[NOME PRODUTO]],Tabela1[[#This Row],[NOME PRODUTO]],Tabela2[[#All],[SAÍDA]],"&gt;0")</f>
        <v>20935.73</v>
      </c>
    </row>
    <row r="16" spans="1:8" x14ac:dyDescent="0.3">
      <c r="B16" s="26" t="s">
        <v>39</v>
      </c>
      <c r="C16" s="4">
        <v>52</v>
      </c>
      <c r="D16" s="27">
        <f>SUMIF(Tabela2[[#All],[NOME PRODUTO]],Tabela1[[#This Row],[NOME PRODUTO]],Tabela2[[#All],[ENTRADA]])</f>
        <v>50</v>
      </c>
      <c r="E16" s="28">
        <f>SUMIF(Tabela2[NOME PRODUTO],Tabela1[[#This Row],[NOME PRODUTO]],Tabela2[SAÍDA])</f>
        <v>68</v>
      </c>
      <c r="F16" s="29">
        <f t="shared" si="0"/>
        <v>34</v>
      </c>
      <c r="G16" s="30">
        <f>SUMIFS(Tabela2[[#All],[VALOR]],Tabela2[[#All],[NOME PRODUTO]],Tabela1[[#This Row],[NOME PRODUTO]],Tabela2[[#All],[ENTRADA]],"&gt;0")</f>
        <v>20000</v>
      </c>
      <c r="H16" s="31">
        <f>SUMIFS(Tabela2[[#All],[VALOR]],Tabela2[[#All],[NOME PRODUTO]],Tabela1[[#This Row],[NOME PRODUTO]],Tabela2[[#All],[SAÍDA]],"&gt;0")</f>
        <v>19534.46</v>
      </c>
    </row>
    <row r="17" spans="2:8" x14ac:dyDescent="0.3">
      <c r="B17" s="26" t="s">
        <v>26</v>
      </c>
      <c r="C17" s="4">
        <v>33</v>
      </c>
      <c r="D17" s="27">
        <f>SUMIF(Tabela2[[#All],[NOME PRODUTO]],Tabela1[[#This Row],[NOME PRODUTO]],Tabela2[[#All],[ENTRADA]])</f>
        <v>255</v>
      </c>
      <c r="E17" s="28">
        <f>SUMIF(Tabela2[NOME PRODUTO],Tabela1[[#This Row],[NOME PRODUTO]],Tabela2[SAÍDA])</f>
        <v>275</v>
      </c>
      <c r="F17" s="29">
        <f t="shared" si="0"/>
        <v>13</v>
      </c>
      <c r="G17" s="30">
        <f>SUMIFS(Tabela2[[#All],[VALOR]],Tabela2[[#All],[NOME PRODUTO]],Tabela1[[#This Row],[NOME PRODUTO]],Tabela2[[#All],[ENTRADA]],"&gt;0")</f>
        <v>20000</v>
      </c>
      <c r="H17" s="31">
        <f>SUMIFS(Tabela2[[#All],[VALOR]],Tabela2[[#All],[NOME PRODUTO]],Tabela1[[#This Row],[NOME PRODUTO]],Tabela2[[#All],[SAÍDA]],"&gt;0")</f>
        <v>707076.51</v>
      </c>
    </row>
    <row r="18" spans="2:8" x14ac:dyDescent="0.3">
      <c r="B18" s="26" t="s">
        <v>27</v>
      </c>
      <c r="C18" s="4">
        <v>96</v>
      </c>
      <c r="D18" s="27">
        <f>SUMIF(Tabela2[[#All],[NOME PRODUTO]],Tabela1[[#This Row],[NOME PRODUTO]],Tabela2[[#All],[ENTRADA]])</f>
        <v>330</v>
      </c>
      <c r="E18" s="28">
        <f>SUMIF(Tabela2[NOME PRODUTO],Tabela1[[#This Row],[NOME PRODUTO]],Tabela2[SAÍDA])</f>
        <v>424</v>
      </c>
      <c r="F18" s="29">
        <f t="shared" si="0"/>
        <v>2</v>
      </c>
      <c r="G18" s="30">
        <f>SUMIFS(Tabela2[[#All],[VALOR]],Tabela2[[#All],[NOME PRODUTO]],Tabela1[[#This Row],[NOME PRODUTO]],Tabela2[[#All],[ENTRADA]],"&gt;0")</f>
        <v>190000</v>
      </c>
      <c r="H18" s="31">
        <f>SUMIFS(Tabela2[[#All],[VALOR]],Tabela2[[#All],[NOME PRODUTO]],Tabela1[[#This Row],[NOME PRODUTO]],Tabela2[[#All],[SAÍDA]],"&gt;0")</f>
        <v>1586733.2899999998</v>
      </c>
    </row>
    <row r="19" spans="2:8" x14ac:dyDescent="0.3">
      <c r="B19" t="s">
        <v>28</v>
      </c>
      <c r="C19" s="4">
        <v>56</v>
      </c>
      <c r="D19" s="27">
        <f>SUMIF(Tabela2[[#All],[NOME PRODUTO]],Tabela1[[#This Row],[NOME PRODUTO]],Tabela2[[#All],[ENTRADA]])</f>
        <v>212</v>
      </c>
      <c r="E19" s="28">
        <f>SUMIF(Tabela2[NOME PRODUTO],Tabela1[[#This Row],[NOME PRODUTO]],Tabela2[SAÍDA])</f>
        <v>263</v>
      </c>
      <c r="F19" s="29">
        <f t="shared" si="0"/>
        <v>5</v>
      </c>
      <c r="G19" s="30">
        <f>SUMIFS(Tabela2[[#All],[VALOR]],Tabela2[[#All],[NOME PRODUTO]],Tabela1[[#This Row],[NOME PRODUTO]],Tabela2[[#All],[ENTRADA]],"&gt;0")</f>
        <v>57000</v>
      </c>
      <c r="H19" s="31">
        <f>SUMIFS(Tabela2[[#All],[VALOR]],Tabela2[[#All],[NOME PRODUTO]],Tabela1[[#This Row],[NOME PRODUTO]],Tabela2[[#All],[SAÍDA]],"&gt;0")</f>
        <v>159328.66</v>
      </c>
    </row>
    <row r="20" spans="2:8" x14ac:dyDescent="0.3">
      <c r="B20" s="26" t="s">
        <v>30</v>
      </c>
      <c r="C20" s="4">
        <v>88</v>
      </c>
      <c r="D20" s="27">
        <f>SUMIF(Tabela2[[#All],[NOME PRODUTO]],Tabela1[[#This Row],[NOME PRODUTO]],Tabela2[[#All],[ENTRADA]])</f>
        <v>10</v>
      </c>
      <c r="E20" s="28">
        <f>SUMIF(Tabela2[NOME PRODUTO],Tabela1[[#This Row],[NOME PRODUTO]],Tabela2[SAÍDA])</f>
        <v>15</v>
      </c>
      <c r="F20" s="29">
        <f t="shared" si="0"/>
        <v>83</v>
      </c>
      <c r="G20" s="30">
        <f>SUMIFS(Tabela2[[#All],[VALOR]],Tabela2[[#All],[NOME PRODUTO]],Tabela1[[#This Row],[NOME PRODUTO]],Tabela2[[#All],[ENTRADA]],"&gt;0")</f>
        <v>1000</v>
      </c>
      <c r="H20" s="31">
        <f>SUMIFS(Tabela2[[#All],[VALOR]],Tabela2[[#All],[NOME PRODUTO]],Tabela1[[#This Row],[NOME PRODUTO]],Tabela2[[#All],[SAÍDA]],"&gt;0")</f>
        <v>14743.91</v>
      </c>
    </row>
    <row r="21" spans="2:8" x14ac:dyDescent="0.3">
      <c r="B21" t="s">
        <v>29</v>
      </c>
      <c r="C21" s="4">
        <v>56</v>
      </c>
      <c r="D21" s="27">
        <f>SUMIF(Tabela2[[#All],[NOME PRODUTO]],Tabela1[[#This Row],[NOME PRODUTO]],Tabela2[[#All],[ENTRADA]])</f>
        <v>10</v>
      </c>
      <c r="E21" s="28">
        <f>SUMIF(Tabela2[NOME PRODUTO],Tabela1[[#This Row],[NOME PRODUTO]],Tabela2[SAÍDA])</f>
        <v>11</v>
      </c>
      <c r="F21" s="29">
        <f t="shared" si="0"/>
        <v>55</v>
      </c>
      <c r="G21" s="30">
        <f>SUMIFS(Tabela2[[#All],[VALOR]],Tabela2[[#All],[NOME PRODUTO]],Tabela1[[#This Row],[NOME PRODUTO]],Tabela2[[#All],[ENTRADA]],"&gt;0")</f>
        <v>3000</v>
      </c>
      <c r="H21" s="31">
        <f>SUMIFS(Tabela2[[#All],[VALOR]],Tabela2[[#All],[NOME PRODUTO]],Tabela1[[#This Row],[NOME PRODUTO]],Tabela2[[#All],[SAÍDA]],"&gt;0")</f>
        <v>6957.0499999999993</v>
      </c>
    </row>
    <row r="22" spans="2:8" x14ac:dyDescent="0.3">
      <c r="B22" s="26" t="s">
        <v>31</v>
      </c>
      <c r="C22" s="4">
        <v>91</v>
      </c>
      <c r="D22" s="27">
        <f>SUMIF(Tabela2[[#All],[NOME PRODUTO]],Tabela1[[#This Row],[NOME PRODUTO]],Tabela2[[#All],[ENTRADA]])</f>
        <v>5</v>
      </c>
      <c r="E22" s="28">
        <f>SUMIF(Tabela2[NOME PRODUTO],Tabela1[[#This Row],[NOME PRODUTO]],Tabela2[SAÍDA])</f>
        <v>4</v>
      </c>
      <c r="F22" s="29">
        <f t="shared" si="0"/>
        <v>92</v>
      </c>
      <c r="G22" s="30">
        <f>SUMIFS(Tabela2[[#All],[VALOR]],Tabela2[[#All],[NOME PRODUTO]],Tabela1[[#This Row],[NOME PRODUTO]],Tabela2[[#All],[ENTRADA]],"&gt;0")</f>
        <v>6000</v>
      </c>
      <c r="H22" s="31">
        <f>SUMIFS(Tabela2[[#All],[VALOR]],Tabela2[[#All],[NOME PRODUTO]],Tabela1[[#This Row],[NOME PRODUTO]],Tabela2[[#All],[SAÍDA]],"&gt;0")</f>
        <v>20229.14</v>
      </c>
    </row>
    <row r="23" spans="2:8" x14ac:dyDescent="0.3">
      <c r="B23" s="26" t="s">
        <v>32</v>
      </c>
      <c r="C23" s="4">
        <v>223</v>
      </c>
      <c r="D23" s="27">
        <f>SUMIF(Tabela2[[#All],[NOME PRODUTO]],Tabela1[[#This Row],[NOME PRODUTO]],Tabela2[[#All],[ENTRADA]])</f>
        <v>9</v>
      </c>
      <c r="E23" s="28">
        <f>SUMIF(Tabela2[NOME PRODUTO],Tabela1[[#This Row],[NOME PRODUTO]],Tabela2[SAÍDA])</f>
        <v>26</v>
      </c>
      <c r="F23" s="29">
        <f t="shared" si="0"/>
        <v>206</v>
      </c>
      <c r="G23" s="30">
        <f>SUMIFS(Tabela2[[#All],[VALOR]],Tabela2[[#All],[NOME PRODUTO]],Tabela1[[#This Row],[NOME PRODUTO]],Tabela2[[#All],[ENTRADA]],"&gt;0")</f>
        <v>2500</v>
      </c>
      <c r="H23" s="31">
        <f>SUMIFS(Tabela2[[#All],[VALOR]],Tabela2[[#All],[NOME PRODUTO]],Tabela1[[#This Row],[NOME PRODUTO]],Tabela2[[#All],[SAÍDA]],"&gt;0")</f>
        <v>13309.87</v>
      </c>
    </row>
    <row r="24" spans="2:8" x14ac:dyDescent="0.3">
      <c r="B24" t="s">
        <v>33</v>
      </c>
      <c r="C24" s="4">
        <v>259</v>
      </c>
      <c r="D24" s="27">
        <f>SUMIF(Tabela2[[#All],[NOME PRODUTO]],Tabela1[[#This Row],[NOME PRODUTO]],Tabela2[[#All],[ENTRADA]])</f>
        <v>2</v>
      </c>
      <c r="E24" s="28">
        <f>SUMIF(Tabela2[NOME PRODUTO],Tabela1[[#This Row],[NOME PRODUTO]],Tabela2[SAÍDA])</f>
        <v>19</v>
      </c>
      <c r="F24" s="29">
        <f t="shared" si="0"/>
        <v>242</v>
      </c>
      <c r="G24" s="30">
        <f>SUMIFS(Tabela2[[#All],[VALOR]],Tabela2[[#All],[NOME PRODUTO]],Tabela1[[#This Row],[NOME PRODUTO]],Tabela2[[#All],[ENTRADA]],"&gt;0")</f>
        <v>4000</v>
      </c>
      <c r="H24" s="31">
        <f>SUMIFS(Tabela2[[#All],[VALOR]],Tabela2[[#All],[NOME PRODUTO]],Tabela1[[#This Row],[NOME PRODUTO]],Tabela2[[#All],[SAÍDA]],"&gt;0")</f>
        <v>19514.059999999998</v>
      </c>
    </row>
    <row r="25" spans="2:8" x14ac:dyDescent="0.3">
      <c r="B25" t="s">
        <v>34</v>
      </c>
      <c r="C25" s="4">
        <v>12</v>
      </c>
      <c r="D25" s="27">
        <f>SUMIF(Tabela2[[#All],[NOME PRODUTO]],Tabela1[[#This Row],[NOME PRODUTO]],Tabela2[[#All],[ENTRADA]])</f>
        <v>3</v>
      </c>
      <c r="E25" s="28">
        <f>SUMIF(Tabela2[NOME PRODUTO],Tabela1[[#This Row],[NOME PRODUTO]],Tabela2[SAÍDA])</f>
        <v>4</v>
      </c>
      <c r="F25" s="29">
        <f t="shared" si="0"/>
        <v>11</v>
      </c>
      <c r="G25" s="30">
        <f>SUMIFS(Tabela2[[#All],[VALOR]],Tabela2[[#All],[NOME PRODUTO]],Tabela1[[#This Row],[NOME PRODUTO]],Tabela2[[#All],[ENTRADA]],"&gt;0")</f>
        <v>3000</v>
      </c>
      <c r="H25" s="31">
        <f>SUMIFS(Tabela2[[#All],[VALOR]],Tabela2[[#All],[NOME PRODUTO]],Tabela1[[#This Row],[NOME PRODUTO]],Tabela2[[#All],[SAÍDA]],"&gt;0")</f>
        <v>12767.439999999999</v>
      </c>
    </row>
    <row r="26" spans="2:8" x14ac:dyDescent="0.3">
      <c r="B26" t="s">
        <v>35</v>
      </c>
      <c r="C26" s="4">
        <v>5</v>
      </c>
      <c r="D26" s="27">
        <f>SUMIF(Tabela2[[#All],[NOME PRODUTO]],Tabela1[[#This Row],[NOME PRODUTO]],Tabela2[[#All],[ENTRADA]])</f>
        <v>1</v>
      </c>
      <c r="E26" s="28">
        <f>SUMIF(Tabela2[NOME PRODUTO],Tabela1[[#This Row],[NOME PRODUTO]],Tabela2[SAÍDA])</f>
        <v>2</v>
      </c>
      <c r="F26" s="29">
        <f t="shared" si="0"/>
        <v>4</v>
      </c>
      <c r="G26" s="30">
        <f>SUMIFS(Tabela2[[#All],[VALOR]],Tabela2[[#All],[NOME PRODUTO]],Tabela1[[#This Row],[NOME PRODUTO]],Tabela2[[#All],[ENTRADA]],"&gt;0")</f>
        <v>850</v>
      </c>
      <c r="H26" s="31">
        <f>SUMIFS(Tabela2[[#All],[VALOR]],Tabela2[[#All],[NOME PRODUTO]],Tabela1[[#This Row],[NOME PRODUTO]],Tabela2[[#All],[SAÍDA]],"&gt;0")</f>
        <v>17128.48</v>
      </c>
    </row>
    <row r="27" spans="2:8" x14ac:dyDescent="0.3">
      <c r="B27" t="s">
        <v>36</v>
      </c>
      <c r="C27" s="4">
        <v>3</v>
      </c>
      <c r="D27" s="27">
        <f>SUMIF(Tabela2[[#All],[NOME PRODUTO]],Tabela1[[#This Row],[NOME PRODUTO]],Tabela2[[#All],[ENTRADA]])</f>
        <v>2</v>
      </c>
      <c r="E27" s="28">
        <f>SUMIF(Tabela2[NOME PRODUTO],Tabela1[[#This Row],[NOME PRODUTO]],Tabela2[SAÍDA])</f>
        <v>3</v>
      </c>
      <c r="F27" s="29">
        <f t="shared" si="0"/>
        <v>2</v>
      </c>
      <c r="G27" s="30">
        <f>SUMIFS(Tabela2[[#All],[VALOR]],Tabela2[[#All],[NOME PRODUTO]],Tabela1[[#This Row],[NOME PRODUTO]],Tabela2[[#All],[ENTRADA]],"&gt;0")</f>
        <v>1150</v>
      </c>
      <c r="H27" s="31">
        <f>SUMIFS(Tabela2[[#All],[VALOR]],Tabela2[[#All],[NOME PRODUTO]],Tabela1[[#This Row],[NOME PRODUTO]],Tabela2[[#All],[SAÍDA]],"&gt;0")</f>
        <v>6169.57</v>
      </c>
    </row>
    <row r="28" spans="2:8" x14ac:dyDescent="0.3">
      <c r="B28" s="26" t="s">
        <v>37</v>
      </c>
      <c r="C28" s="4">
        <v>60</v>
      </c>
      <c r="D28" s="27">
        <f>SUMIF(Tabela2[[#All],[NOME PRODUTO]],Tabela1[[#This Row],[NOME PRODUTO]],Tabela2[[#All],[ENTRADA]])</f>
        <v>9</v>
      </c>
      <c r="E28" s="28">
        <f>SUMIF(Tabela2[NOME PRODUTO],Tabela1[[#This Row],[NOME PRODUTO]],Tabela2[SAÍDA])</f>
        <v>62</v>
      </c>
      <c r="F28" s="29">
        <f t="shared" si="0"/>
        <v>7</v>
      </c>
      <c r="G28" s="30">
        <f>SUMIFS(Tabela2[[#All],[VALOR]],Tabela2[[#All],[NOME PRODUTO]],Tabela1[[#This Row],[NOME PRODUTO]],Tabela2[[#All],[ENTRADA]],"&gt;0")</f>
        <v>14000</v>
      </c>
      <c r="H28" s="31">
        <f>SUMIFS(Tabela2[[#All],[VALOR]],Tabela2[[#All],[NOME PRODUTO]],Tabela1[[#This Row],[NOME PRODUTO]],Tabela2[[#All],[SAÍDA]],"&gt;0")</f>
        <v>57160.29</v>
      </c>
    </row>
    <row r="29" spans="2:8" x14ac:dyDescent="0.3">
      <c r="B29" s="26" t="s">
        <v>38</v>
      </c>
      <c r="C29" s="4">
        <v>20</v>
      </c>
      <c r="D29" s="27">
        <f>SUMIF(Tabela2[[#All],[NOME PRODUTO]],Tabela1[[#This Row],[NOME PRODUTO]],Tabela2[[#All],[ENTRADA]])</f>
        <v>30</v>
      </c>
      <c r="E29" s="28">
        <f>SUMIF(Tabela2[NOME PRODUTO],Tabela1[[#This Row],[NOME PRODUTO]],Tabela2[SAÍDA])</f>
        <v>41</v>
      </c>
      <c r="F29" s="29">
        <f t="shared" si="0"/>
        <v>9</v>
      </c>
      <c r="G29" s="30">
        <f>SUMIFS(Tabela2[[#All],[VALOR]],Tabela2[[#All],[NOME PRODUTO]],Tabela1[[#This Row],[NOME PRODUTO]],Tabela2[[#All],[ENTRADA]],"&gt;0")</f>
        <v>29500</v>
      </c>
      <c r="H29" s="31">
        <f>SUMIFS(Tabela2[[#All],[VALOR]],Tabela2[[#All],[NOME PRODUTO]],Tabela1[[#This Row],[NOME PRODUTO]],Tabela2[[#All],[SAÍDA]],"&gt;0")</f>
        <v>36941.01</v>
      </c>
    </row>
    <row r="30" spans="2:8" x14ac:dyDescent="0.3">
      <c r="B30" t="s">
        <v>40</v>
      </c>
      <c r="C30" s="4">
        <v>20</v>
      </c>
      <c r="D30" s="27">
        <f>SUMIF(Tabela2[[#All],[NOME PRODUTO]],Tabela1[[#This Row],[NOME PRODUTO]],Tabela2[[#All],[ENTRADA]])</f>
        <v>15</v>
      </c>
      <c r="E30" s="28">
        <f>SUMIF(Tabela2[NOME PRODUTO],Tabela1[[#This Row],[NOME PRODUTO]],Tabela2[SAÍDA])</f>
        <v>24</v>
      </c>
      <c r="F30" s="29">
        <f t="shared" si="0"/>
        <v>11</v>
      </c>
      <c r="G30" s="30">
        <f>SUMIFS(Tabela2[[#All],[VALOR]],Tabela2[[#All],[NOME PRODUTO]],Tabela1[[#This Row],[NOME PRODUTO]],Tabela2[[#All],[ENTRADA]],"&gt;0")</f>
        <v>26000</v>
      </c>
      <c r="H30" s="31">
        <f>SUMIFS(Tabela2[[#All],[VALOR]],Tabela2[[#All],[NOME PRODUTO]],Tabela1[[#This Row],[NOME PRODUTO]],Tabela2[[#All],[SAÍDA]],"&gt;0")</f>
        <v>12273.789999999999</v>
      </c>
    </row>
    <row r="31" spans="2:8" x14ac:dyDescent="0.3">
      <c r="B31" t="s">
        <v>41</v>
      </c>
      <c r="C31" s="4">
        <v>20</v>
      </c>
      <c r="D31" s="27">
        <f>SUMIF(Tabela2[[#All],[NOME PRODUTO]],Tabela1[[#This Row],[NOME PRODUTO]],Tabela2[[#All],[ENTRADA]])</f>
        <v>200</v>
      </c>
      <c r="E31" s="28">
        <f>SUMIF(Tabela2[NOME PRODUTO],Tabela1[[#This Row],[NOME PRODUTO]],Tabela2[SAÍDA])</f>
        <v>190</v>
      </c>
      <c r="F31" s="29">
        <f t="shared" si="0"/>
        <v>30</v>
      </c>
      <c r="G31" s="30">
        <f>SUMIFS(Tabela2[[#All],[VALOR]],Tabela2[[#All],[NOME PRODUTO]],Tabela1[[#This Row],[NOME PRODUTO]],Tabela2[[#All],[ENTRADA]],"&gt;0")</f>
        <v>130000</v>
      </c>
      <c r="H31" s="31">
        <f>SUMIFS(Tabela2[[#All],[VALOR]],Tabela2[[#All],[NOME PRODUTO]],Tabela1[[#This Row],[NOME PRODUTO]],Tabela2[[#All],[SAÍDA]],"&gt;0")</f>
        <v>560000</v>
      </c>
    </row>
    <row r="32" spans="2:8" x14ac:dyDescent="0.3">
      <c r="B32" t="s">
        <v>42</v>
      </c>
      <c r="C32" s="4">
        <v>40</v>
      </c>
      <c r="D32" s="27">
        <f>SUMIF(Tabela2[[#All],[NOME PRODUTO]],Tabela1[[#This Row],[NOME PRODUTO]],Tabela2[[#All],[ENTRADA]])</f>
        <v>30</v>
      </c>
      <c r="E32" s="28">
        <f>SUMIF(Tabela2[NOME PRODUTO],Tabela1[[#This Row],[NOME PRODUTO]],Tabela2[SAÍDA])</f>
        <v>65</v>
      </c>
      <c r="F32" s="29">
        <f t="shared" si="0"/>
        <v>5</v>
      </c>
      <c r="G32" s="30">
        <f>SUMIFS(Tabela2[[#All],[VALOR]],Tabela2[[#All],[NOME PRODUTO]],Tabela1[[#This Row],[NOME PRODUTO]],Tabela2[[#All],[ENTRADA]],"&gt;0")</f>
        <v>60000</v>
      </c>
      <c r="H32" s="31">
        <f>SUMIFS(Tabela2[[#All],[VALOR]],Tabela2[[#All],[NOME PRODUTO]],Tabela1[[#This Row],[NOME PRODUTO]],Tabela2[[#All],[SAÍDA]],"&gt;0")</f>
        <v>259362.86999999997</v>
      </c>
    </row>
    <row r="33" spans="2:8" x14ac:dyDescent="0.3">
      <c r="B33" s="26" t="s">
        <v>43</v>
      </c>
      <c r="C33" s="4">
        <v>52</v>
      </c>
      <c r="D33" s="27">
        <f>SUMIF(Tabela2[[#All],[NOME PRODUTO]],Tabela1[[#This Row],[NOME PRODUTO]],Tabela2[[#All],[ENTRADA]])</f>
        <v>21</v>
      </c>
      <c r="E33" s="28">
        <f>SUMIF(Tabela2[NOME PRODUTO],Tabela1[[#This Row],[NOME PRODUTO]],Tabela2[SAÍDA])</f>
        <v>34</v>
      </c>
      <c r="F33" s="29">
        <f t="shared" si="0"/>
        <v>39</v>
      </c>
      <c r="G33" s="30">
        <f>SUMIFS(Tabela2[[#All],[VALOR]],Tabela2[[#All],[NOME PRODUTO]],Tabela1[[#This Row],[NOME PRODUTO]],Tabela2[[#All],[ENTRADA]],"&gt;0")</f>
        <v>11500</v>
      </c>
      <c r="H33" s="31">
        <f>SUMIFS(Tabela2[[#All],[VALOR]],Tabela2[[#All],[NOME PRODUTO]],Tabela1[[#This Row],[NOME PRODUTO]],Tabela2[[#All],[SAÍDA]],"&gt;0")</f>
        <v>16312</v>
      </c>
    </row>
    <row r="34" spans="2:8" x14ac:dyDescent="0.3">
      <c r="B34" t="s">
        <v>44</v>
      </c>
      <c r="C34" s="4">
        <v>2</v>
      </c>
      <c r="D34" s="27">
        <f>SUMIF(Tabela2[[#All],[NOME PRODUTO]],Tabela1[[#This Row],[NOME PRODUTO]],Tabela2[[#All],[ENTRADA]])</f>
        <v>40</v>
      </c>
      <c r="E34" s="28">
        <f>SUMIF(Tabela2[NOME PRODUTO],Tabela1[[#This Row],[NOME PRODUTO]],Tabela2[SAÍDA])</f>
        <v>35</v>
      </c>
      <c r="F34" s="29">
        <f t="shared" si="0"/>
        <v>7</v>
      </c>
      <c r="G34" s="30">
        <f>SUMIFS(Tabela2[[#All],[VALOR]],Tabela2[[#All],[NOME PRODUTO]],Tabela1[[#This Row],[NOME PRODUTO]],Tabela2[[#All],[ENTRADA]],"&gt;0")</f>
        <v>9600</v>
      </c>
      <c r="H34" s="31">
        <f>SUMIFS(Tabela2[[#All],[VALOR]],Tabela2[[#All],[NOME PRODUTO]],Tabela1[[#This Row],[NOME PRODUTO]],Tabela2[[#All],[SAÍDA]],"&gt;0")</f>
        <v>4364.58</v>
      </c>
    </row>
    <row r="35" spans="2:8" x14ac:dyDescent="0.3">
      <c r="B35" s="26" t="s">
        <v>45</v>
      </c>
      <c r="C35" s="4">
        <v>10</v>
      </c>
      <c r="D35" s="27">
        <f>SUMIF(Tabela2[[#All],[NOME PRODUTO]],Tabela1[[#This Row],[NOME PRODUTO]],Tabela2[[#All],[ENTRADA]])</f>
        <v>10</v>
      </c>
      <c r="E35" s="28">
        <f>SUMIF(Tabela2[NOME PRODUTO],Tabela1[[#This Row],[NOME PRODUTO]],Tabela2[SAÍDA])</f>
        <v>15</v>
      </c>
      <c r="F35" s="29">
        <f t="shared" si="0"/>
        <v>5</v>
      </c>
      <c r="G35" s="30">
        <f>SUMIFS(Tabela2[[#All],[VALOR]],Tabela2[[#All],[NOME PRODUTO]],Tabela1[[#This Row],[NOME PRODUTO]],Tabela2[[#All],[ENTRADA]],"&gt;0")</f>
        <v>6999</v>
      </c>
      <c r="H35" s="31">
        <f>SUMIFS(Tabela2[[#All],[VALOR]],Tabela2[[#All],[NOME PRODUTO]],Tabela1[[#This Row],[NOME PRODUTO]],Tabela2[[#All],[SAÍDA]],"&gt;0")</f>
        <v>11093.35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"/>
  <sheetViews>
    <sheetView topLeftCell="A8" workbookViewId="0">
      <selection activeCell="E71" sqref="E71"/>
    </sheetView>
  </sheetViews>
  <sheetFormatPr defaultRowHeight="14.4" x14ac:dyDescent="0.3"/>
  <cols>
    <col min="2" max="2" width="25.88671875" customWidth="1"/>
    <col min="3" max="3" width="26.77734375" customWidth="1"/>
    <col min="4" max="5" width="22.21875" customWidth="1"/>
    <col min="6" max="6" width="22.21875" style="48" customWidth="1"/>
    <col min="7" max="7" width="22.21875" customWidth="1"/>
    <col min="8" max="8" width="14.88671875" customWidth="1"/>
  </cols>
  <sheetData>
    <row r="1" spans="1:7" s="2" customFormat="1" ht="41.25" customHeight="1" x14ac:dyDescent="0.3">
      <c r="A1" s="1" t="s">
        <v>1</v>
      </c>
      <c r="F1" s="44"/>
    </row>
    <row r="3" spans="1:7" s="3" customFormat="1" ht="23.4" x14ac:dyDescent="0.45">
      <c r="B3" s="11" t="s">
        <v>8</v>
      </c>
      <c r="C3" s="12" t="s">
        <v>2</v>
      </c>
      <c r="D3" s="32" t="s">
        <v>7</v>
      </c>
      <c r="E3" s="33" t="s">
        <v>9</v>
      </c>
      <c r="F3" s="45" t="s">
        <v>10</v>
      </c>
      <c r="G3" s="16" t="s">
        <v>11</v>
      </c>
    </row>
    <row r="4" spans="1:7" s="3" customFormat="1" x14ac:dyDescent="0.3">
      <c r="B4" s="19">
        <v>46023</v>
      </c>
      <c r="C4" s="50" t="s">
        <v>14</v>
      </c>
      <c r="D4" s="8">
        <v>10</v>
      </c>
      <c r="E4" s="9"/>
      <c r="F4" s="46">
        <v>15000</v>
      </c>
      <c r="G4" s="18"/>
    </row>
    <row r="5" spans="1:7" s="3" customFormat="1" x14ac:dyDescent="0.3">
      <c r="B5" s="3" t="s">
        <v>47</v>
      </c>
      <c r="C5" s="50" t="s">
        <v>15</v>
      </c>
      <c r="D5" s="34">
        <v>5</v>
      </c>
      <c r="E5" s="35"/>
      <c r="F5" s="47">
        <v>22000</v>
      </c>
      <c r="G5" s="36"/>
    </row>
    <row r="6" spans="1:7" s="3" customFormat="1" x14ac:dyDescent="0.3">
      <c r="B6" s="3">
        <v>46023</v>
      </c>
      <c r="C6" s="50" t="s">
        <v>16</v>
      </c>
      <c r="D6" s="34">
        <v>20</v>
      </c>
      <c r="E6" s="35"/>
      <c r="F6" s="47">
        <v>43000</v>
      </c>
      <c r="G6" s="36"/>
    </row>
    <row r="7" spans="1:7" s="3" customFormat="1" x14ac:dyDescent="0.3">
      <c r="B7" s="3">
        <v>46023</v>
      </c>
      <c r="C7" s="50" t="s">
        <v>17</v>
      </c>
      <c r="D7" s="34">
        <v>20</v>
      </c>
      <c r="E7" s="35"/>
      <c r="F7" s="47">
        <v>17000</v>
      </c>
      <c r="G7" s="36"/>
    </row>
    <row r="8" spans="1:7" s="3" customFormat="1" x14ac:dyDescent="0.3">
      <c r="B8" s="3">
        <v>46023</v>
      </c>
      <c r="C8" s="50" t="s">
        <v>18</v>
      </c>
      <c r="D8" s="34">
        <v>100</v>
      </c>
      <c r="E8" s="35"/>
      <c r="F8" s="47">
        <v>39000</v>
      </c>
      <c r="G8" s="36"/>
    </row>
    <row r="9" spans="1:7" s="3" customFormat="1" x14ac:dyDescent="0.3">
      <c r="B9" s="3">
        <v>46023</v>
      </c>
      <c r="C9" s="50" t="s">
        <v>19</v>
      </c>
      <c r="D9" s="8">
        <v>100</v>
      </c>
      <c r="E9" s="9"/>
      <c r="F9" s="46">
        <v>82000</v>
      </c>
      <c r="G9" s="18"/>
    </row>
    <row r="10" spans="1:7" s="3" customFormat="1" x14ac:dyDescent="0.3">
      <c r="B10" s="3">
        <v>46023</v>
      </c>
      <c r="C10" s="50" t="s">
        <v>20</v>
      </c>
      <c r="D10" s="8">
        <v>80</v>
      </c>
      <c r="E10" s="9"/>
      <c r="F10" s="46">
        <v>11000</v>
      </c>
      <c r="G10" s="18"/>
    </row>
    <row r="11" spans="1:7" s="3" customFormat="1" x14ac:dyDescent="0.3">
      <c r="B11" s="3">
        <v>46023</v>
      </c>
      <c r="C11" s="51" t="s">
        <v>21</v>
      </c>
      <c r="D11" s="8">
        <v>70</v>
      </c>
      <c r="E11" s="9"/>
      <c r="F11" s="46">
        <v>10000</v>
      </c>
      <c r="G11" s="18"/>
    </row>
    <row r="12" spans="1:7" s="3" customFormat="1" x14ac:dyDescent="0.3">
      <c r="B12" s="3">
        <v>46023</v>
      </c>
      <c r="C12" s="50" t="s">
        <v>22</v>
      </c>
      <c r="D12" s="8">
        <v>26</v>
      </c>
      <c r="E12" s="9"/>
      <c r="F12" s="46">
        <v>8000</v>
      </c>
      <c r="G12" s="18"/>
    </row>
    <row r="13" spans="1:7" s="3" customFormat="1" x14ac:dyDescent="0.3">
      <c r="B13" s="3">
        <v>46023</v>
      </c>
      <c r="C13" s="50" t="s">
        <v>23</v>
      </c>
      <c r="D13" s="8">
        <v>160</v>
      </c>
      <c r="E13" s="9"/>
      <c r="F13" s="46">
        <v>36000</v>
      </c>
      <c r="G13" s="18"/>
    </row>
    <row r="14" spans="1:7" s="3" customFormat="1" x14ac:dyDescent="0.3">
      <c r="B14" s="3">
        <v>46023</v>
      </c>
      <c r="C14" s="50" t="s">
        <v>24</v>
      </c>
      <c r="D14" s="8">
        <v>330</v>
      </c>
      <c r="E14" s="9"/>
      <c r="F14" s="46">
        <v>60000</v>
      </c>
      <c r="G14" s="18"/>
    </row>
    <row r="15" spans="1:7" s="3" customFormat="1" x14ac:dyDescent="0.3">
      <c r="B15" s="3">
        <v>46023</v>
      </c>
      <c r="C15" s="50" t="s">
        <v>25</v>
      </c>
      <c r="D15" s="8">
        <v>50</v>
      </c>
      <c r="E15" s="9"/>
      <c r="F15" s="46">
        <v>25000</v>
      </c>
      <c r="G15" s="18"/>
    </row>
    <row r="16" spans="1:7" s="3" customFormat="1" x14ac:dyDescent="0.3">
      <c r="B16" s="3">
        <v>46023</v>
      </c>
      <c r="C16" s="50" t="s">
        <v>39</v>
      </c>
      <c r="D16" s="8">
        <v>50</v>
      </c>
      <c r="E16" s="9"/>
      <c r="F16" s="46">
        <v>20000</v>
      </c>
      <c r="G16" s="18"/>
    </row>
    <row r="17" spans="2:7" s="3" customFormat="1" x14ac:dyDescent="0.3">
      <c r="B17" s="3">
        <v>46023</v>
      </c>
      <c r="C17" s="50" t="s">
        <v>26</v>
      </c>
      <c r="D17" s="8">
        <v>255</v>
      </c>
      <c r="E17" s="9"/>
      <c r="F17" s="46">
        <v>20000</v>
      </c>
      <c r="G17" s="18"/>
    </row>
    <row r="18" spans="2:7" s="3" customFormat="1" x14ac:dyDescent="0.3">
      <c r="B18" s="3" t="s">
        <v>47</v>
      </c>
      <c r="C18" s="50" t="s">
        <v>27</v>
      </c>
      <c r="D18" s="8">
        <v>330</v>
      </c>
      <c r="E18" s="9"/>
      <c r="F18" s="46">
        <v>190000</v>
      </c>
      <c r="G18" s="18"/>
    </row>
    <row r="19" spans="2:7" s="3" customFormat="1" x14ac:dyDescent="0.3">
      <c r="B19" s="3">
        <v>46023</v>
      </c>
      <c r="C19" s="3" t="s">
        <v>28</v>
      </c>
      <c r="D19" s="8">
        <v>212</v>
      </c>
      <c r="E19" s="9"/>
      <c r="F19" s="46">
        <v>57000</v>
      </c>
      <c r="G19" s="18"/>
    </row>
    <row r="20" spans="2:7" s="3" customFormat="1" x14ac:dyDescent="0.3">
      <c r="B20" s="3">
        <v>46023</v>
      </c>
      <c r="C20" s="50" t="s">
        <v>30</v>
      </c>
      <c r="D20" s="8">
        <v>10</v>
      </c>
      <c r="E20" s="9"/>
      <c r="F20" s="46">
        <v>1000</v>
      </c>
      <c r="G20" s="18"/>
    </row>
    <row r="21" spans="2:7" s="3" customFormat="1" x14ac:dyDescent="0.3">
      <c r="B21" s="3">
        <v>46023</v>
      </c>
      <c r="C21" s="3" t="s">
        <v>29</v>
      </c>
      <c r="D21" s="8">
        <v>10</v>
      </c>
      <c r="E21" s="9"/>
      <c r="F21" s="46">
        <v>3000</v>
      </c>
      <c r="G21" s="18"/>
    </row>
    <row r="22" spans="2:7" s="3" customFormat="1" x14ac:dyDescent="0.3">
      <c r="B22" s="3">
        <v>46023</v>
      </c>
      <c r="C22" s="50" t="s">
        <v>31</v>
      </c>
      <c r="D22" s="8">
        <v>5</v>
      </c>
      <c r="E22" s="9"/>
      <c r="F22" s="46">
        <v>6000</v>
      </c>
      <c r="G22" s="18"/>
    </row>
    <row r="23" spans="2:7" s="3" customFormat="1" x14ac:dyDescent="0.3">
      <c r="B23" s="3">
        <v>46023</v>
      </c>
      <c r="C23" s="50" t="s">
        <v>32</v>
      </c>
      <c r="D23" s="8">
        <v>9</v>
      </c>
      <c r="E23" s="9"/>
      <c r="F23" s="46">
        <v>2500</v>
      </c>
      <c r="G23" s="18"/>
    </row>
    <row r="24" spans="2:7" s="3" customFormat="1" x14ac:dyDescent="0.3">
      <c r="B24" s="3">
        <v>46023</v>
      </c>
      <c r="C24" s="3" t="s">
        <v>33</v>
      </c>
      <c r="D24" s="8">
        <v>2</v>
      </c>
      <c r="E24" s="9"/>
      <c r="F24" s="46">
        <v>4000</v>
      </c>
      <c r="G24" s="18"/>
    </row>
    <row r="25" spans="2:7" s="3" customFormat="1" x14ac:dyDescent="0.3">
      <c r="B25" s="3">
        <v>46023</v>
      </c>
      <c r="C25" s="3" t="s">
        <v>34</v>
      </c>
      <c r="D25" s="8">
        <v>3</v>
      </c>
      <c r="E25" s="9"/>
      <c r="F25" s="46">
        <v>3000</v>
      </c>
      <c r="G25" s="18"/>
    </row>
    <row r="26" spans="2:7" s="3" customFormat="1" x14ac:dyDescent="0.3">
      <c r="B26" s="3">
        <v>46023</v>
      </c>
      <c r="C26" s="3" t="s">
        <v>35</v>
      </c>
      <c r="D26" s="8">
        <v>1</v>
      </c>
      <c r="E26" s="9"/>
      <c r="F26" s="46">
        <v>850</v>
      </c>
      <c r="G26" s="18"/>
    </row>
    <row r="27" spans="2:7" s="3" customFormat="1" x14ac:dyDescent="0.3">
      <c r="B27" s="3">
        <v>46023</v>
      </c>
      <c r="C27" s="3" t="s">
        <v>36</v>
      </c>
      <c r="D27" s="8">
        <v>2</v>
      </c>
      <c r="E27" s="9"/>
      <c r="F27" s="46">
        <v>1150</v>
      </c>
      <c r="G27" s="18"/>
    </row>
    <row r="28" spans="2:7" s="3" customFormat="1" x14ac:dyDescent="0.3">
      <c r="B28" s="3" t="s">
        <v>47</v>
      </c>
      <c r="C28" s="50" t="s">
        <v>37</v>
      </c>
      <c r="D28" s="8">
        <v>9</v>
      </c>
      <c r="E28" s="9"/>
      <c r="F28" s="46">
        <v>14000</v>
      </c>
      <c r="G28" s="18"/>
    </row>
    <row r="29" spans="2:7" s="3" customFormat="1" x14ac:dyDescent="0.3">
      <c r="B29" s="3">
        <v>46023</v>
      </c>
      <c r="C29" s="50" t="s">
        <v>38</v>
      </c>
      <c r="D29" s="8">
        <v>30</v>
      </c>
      <c r="E29" s="9"/>
      <c r="F29" s="46">
        <v>29500</v>
      </c>
      <c r="G29" s="18"/>
    </row>
    <row r="30" spans="2:7" s="3" customFormat="1" x14ac:dyDescent="0.3">
      <c r="B30" s="3">
        <v>46023</v>
      </c>
      <c r="C30" s="3" t="s">
        <v>40</v>
      </c>
      <c r="D30" s="8">
        <v>15</v>
      </c>
      <c r="E30" s="9"/>
      <c r="F30" s="46">
        <v>26000</v>
      </c>
      <c r="G30" s="18"/>
    </row>
    <row r="31" spans="2:7" s="3" customFormat="1" x14ac:dyDescent="0.3">
      <c r="B31" s="3">
        <v>46023</v>
      </c>
      <c r="C31" s="3" t="s">
        <v>41</v>
      </c>
      <c r="D31" s="8">
        <v>200</v>
      </c>
      <c r="E31" s="9"/>
      <c r="F31" s="46">
        <v>130000</v>
      </c>
      <c r="G31" s="18"/>
    </row>
    <row r="32" spans="2:7" s="3" customFormat="1" x14ac:dyDescent="0.3">
      <c r="B32" s="3" t="s">
        <v>57</v>
      </c>
      <c r="C32" s="3" t="s">
        <v>42</v>
      </c>
      <c r="D32" s="8">
        <v>30</v>
      </c>
      <c r="E32" s="9"/>
      <c r="F32" s="46">
        <v>60000</v>
      </c>
      <c r="G32" s="18"/>
    </row>
    <row r="33" spans="2:7" s="3" customFormat="1" x14ac:dyDescent="0.3">
      <c r="B33" s="3">
        <v>46023</v>
      </c>
      <c r="C33" s="50" t="s">
        <v>43</v>
      </c>
      <c r="D33" s="8">
        <v>21</v>
      </c>
      <c r="E33" s="9"/>
      <c r="F33" s="46">
        <v>11500</v>
      </c>
      <c r="G33" s="18"/>
    </row>
    <row r="34" spans="2:7" s="3" customFormat="1" x14ac:dyDescent="0.3">
      <c r="B34" s="3">
        <v>46023</v>
      </c>
      <c r="C34" s="3" t="s">
        <v>44</v>
      </c>
      <c r="D34" s="8">
        <v>40</v>
      </c>
      <c r="E34" s="9"/>
      <c r="F34" s="46">
        <v>9600</v>
      </c>
      <c r="G34" s="18"/>
    </row>
    <row r="35" spans="2:7" s="3" customFormat="1" x14ac:dyDescent="0.3">
      <c r="B35" s="3">
        <v>46023</v>
      </c>
      <c r="C35" s="50" t="s">
        <v>45</v>
      </c>
      <c r="D35" s="8">
        <v>10</v>
      </c>
      <c r="E35" s="9"/>
      <c r="F35" s="46">
        <v>6999</v>
      </c>
      <c r="G35" s="18"/>
    </row>
    <row r="36" spans="2:7" s="3" customFormat="1" x14ac:dyDescent="0.3">
      <c r="B36" s="3" t="s">
        <v>46</v>
      </c>
      <c r="C36" s="3" t="s">
        <v>14</v>
      </c>
      <c r="D36" s="8"/>
      <c r="E36" s="3">
        <v>7</v>
      </c>
      <c r="F36" s="52">
        <v>4526.8500000000004</v>
      </c>
      <c r="G36" s="18"/>
    </row>
    <row r="37" spans="2:7" s="3" customFormat="1" x14ac:dyDescent="0.3">
      <c r="B37" s="3" t="s">
        <v>47</v>
      </c>
      <c r="C37" s="3" t="s">
        <v>15</v>
      </c>
      <c r="D37" s="8"/>
      <c r="E37" s="3">
        <v>3</v>
      </c>
      <c r="F37" s="52">
        <v>15000</v>
      </c>
      <c r="G37" s="18"/>
    </row>
    <row r="38" spans="2:7" s="3" customFormat="1" x14ac:dyDescent="0.3">
      <c r="B38" s="3" t="s">
        <v>48</v>
      </c>
      <c r="C38" s="3" t="s">
        <v>16</v>
      </c>
      <c r="D38" s="8"/>
      <c r="E38" s="3">
        <v>17</v>
      </c>
      <c r="F38" s="52">
        <v>20000</v>
      </c>
      <c r="G38" s="18"/>
    </row>
    <row r="39" spans="2:7" s="3" customFormat="1" x14ac:dyDescent="0.3">
      <c r="B39" s="3" t="s">
        <v>49</v>
      </c>
      <c r="C39" s="3" t="s">
        <v>17</v>
      </c>
      <c r="D39" s="8"/>
      <c r="E39" s="3">
        <v>8</v>
      </c>
      <c r="F39" s="52">
        <v>2773.74</v>
      </c>
      <c r="G39" s="18"/>
    </row>
    <row r="40" spans="2:7" s="3" customFormat="1" x14ac:dyDescent="0.3">
      <c r="B40" s="3" t="s">
        <v>50</v>
      </c>
      <c r="C40" s="3" t="s">
        <v>18</v>
      </c>
      <c r="D40" s="8"/>
      <c r="E40" s="3">
        <v>4</v>
      </c>
      <c r="F40" s="52">
        <v>4733.28</v>
      </c>
      <c r="G40" s="18"/>
    </row>
    <row r="41" spans="2:7" s="3" customFormat="1" x14ac:dyDescent="0.3">
      <c r="B41" s="3" t="s">
        <v>51</v>
      </c>
      <c r="C41" s="3" t="s">
        <v>19</v>
      </c>
      <c r="D41" s="8"/>
      <c r="E41" s="3">
        <v>8</v>
      </c>
      <c r="F41" s="52">
        <v>3537.34</v>
      </c>
      <c r="G41" s="18"/>
    </row>
    <row r="42" spans="2:7" s="3" customFormat="1" x14ac:dyDescent="0.3">
      <c r="B42" s="3" t="s">
        <v>52</v>
      </c>
      <c r="C42" s="3" t="s">
        <v>20</v>
      </c>
      <c r="D42" s="8"/>
      <c r="E42" s="3">
        <v>6</v>
      </c>
      <c r="F42" s="52">
        <v>4249.1099999999997</v>
      </c>
      <c r="G42" s="18"/>
    </row>
    <row r="43" spans="2:7" s="3" customFormat="1" x14ac:dyDescent="0.3">
      <c r="B43" s="3" t="s">
        <v>53</v>
      </c>
      <c r="C43" s="3" t="s">
        <v>21</v>
      </c>
      <c r="D43" s="8"/>
      <c r="E43" s="3">
        <v>14</v>
      </c>
      <c r="F43" s="52">
        <v>3326.15</v>
      </c>
      <c r="G43" s="18"/>
    </row>
    <row r="44" spans="2:7" s="3" customFormat="1" x14ac:dyDescent="0.3">
      <c r="B44" s="3" t="s">
        <v>54</v>
      </c>
      <c r="C44" s="3" t="s">
        <v>22</v>
      </c>
      <c r="D44" s="8"/>
      <c r="E44" s="3">
        <v>7</v>
      </c>
      <c r="F44" s="52">
        <v>3349.72</v>
      </c>
      <c r="G44" s="18"/>
    </row>
    <row r="45" spans="2:7" s="3" customFormat="1" x14ac:dyDescent="0.3">
      <c r="B45" s="3" t="s">
        <v>55</v>
      </c>
      <c r="C45" s="3" t="s">
        <v>23</v>
      </c>
      <c r="D45" s="8"/>
      <c r="E45" s="3">
        <v>19</v>
      </c>
      <c r="F45" s="52">
        <v>4923.13</v>
      </c>
      <c r="G45" s="18"/>
    </row>
    <row r="46" spans="2:7" s="3" customFormat="1" x14ac:dyDescent="0.3">
      <c r="B46" s="3" t="s">
        <v>51</v>
      </c>
      <c r="C46" s="3" t="s">
        <v>24</v>
      </c>
      <c r="D46" s="8"/>
      <c r="E46" s="3">
        <v>34</v>
      </c>
      <c r="F46" s="52">
        <v>3572.68</v>
      </c>
      <c r="G46" s="18"/>
    </row>
    <row r="47" spans="2:7" s="3" customFormat="1" x14ac:dyDescent="0.3">
      <c r="B47" s="3" t="s">
        <v>56</v>
      </c>
      <c r="C47" s="3" t="s">
        <v>25</v>
      </c>
      <c r="D47" s="8"/>
      <c r="E47" s="3">
        <v>17</v>
      </c>
      <c r="F47" s="52">
        <v>2537.63</v>
      </c>
      <c r="G47" s="18"/>
    </row>
    <row r="48" spans="2:7" s="3" customFormat="1" x14ac:dyDescent="0.3">
      <c r="B48" s="3" t="s">
        <v>46</v>
      </c>
      <c r="C48" s="3" t="s">
        <v>39</v>
      </c>
      <c r="D48" s="8"/>
      <c r="E48" s="3">
        <v>31</v>
      </c>
      <c r="F48" s="52">
        <v>15000</v>
      </c>
      <c r="G48" s="18"/>
    </row>
    <row r="49" spans="2:7" s="3" customFormat="1" x14ac:dyDescent="0.3">
      <c r="B49" s="3" t="s">
        <v>46</v>
      </c>
      <c r="C49" s="3" t="s">
        <v>26</v>
      </c>
      <c r="D49" s="8"/>
      <c r="E49" s="3">
        <v>70</v>
      </c>
      <c r="F49" s="52">
        <v>296000</v>
      </c>
      <c r="G49" s="18"/>
    </row>
    <row r="50" spans="2:7" s="3" customFormat="1" x14ac:dyDescent="0.3">
      <c r="B50" s="3" t="s">
        <v>57</v>
      </c>
      <c r="C50" s="3" t="s">
        <v>27</v>
      </c>
      <c r="D50" s="8"/>
      <c r="E50" s="3">
        <v>52</v>
      </c>
      <c r="F50" s="52">
        <v>1926.6</v>
      </c>
      <c r="G50" s="18"/>
    </row>
    <row r="51" spans="2:7" s="3" customFormat="1" x14ac:dyDescent="0.3">
      <c r="B51" s="3" t="s">
        <v>58</v>
      </c>
      <c r="C51" s="3" t="s">
        <v>28</v>
      </c>
      <c r="D51" s="8"/>
      <c r="E51" s="3">
        <v>9</v>
      </c>
      <c r="F51" s="52">
        <v>1038.6099999999999</v>
      </c>
      <c r="G51" s="18"/>
    </row>
    <row r="52" spans="2:7" s="3" customFormat="1" x14ac:dyDescent="0.3">
      <c r="B52" s="3" t="s">
        <v>59</v>
      </c>
      <c r="C52" s="3" t="s">
        <v>30</v>
      </c>
      <c r="D52" s="8"/>
      <c r="E52" s="3">
        <v>8</v>
      </c>
      <c r="F52" s="52">
        <v>2836.05</v>
      </c>
      <c r="G52" s="18"/>
    </row>
    <row r="53" spans="2:7" s="3" customFormat="1" x14ac:dyDescent="0.3">
      <c r="B53" s="3" t="s">
        <v>60</v>
      </c>
      <c r="C53" s="3" t="s">
        <v>29</v>
      </c>
      <c r="D53" s="8"/>
      <c r="E53" s="3">
        <v>3</v>
      </c>
      <c r="F53" s="52">
        <v>4579.7299999999996</v>
      </c>
      <c r="G53" s="18"/>
    </row>
    <row r="54" spans="2:7" s="3" customFormat="1" x14ac:dyDescent="0.3">
      <c r="B54" s="3" t="s">
        <v>61</v>
      </c>
      <c r="C54" s="3" t="s">
        <v>31</v>
      </c>
      <c r="D54" s="8"/>
      <c r="E54" s="3">
        <v>1</v>
      </c>
      <c r="F54" s="52">
        <v>3124.84</v>
      </c>
      <c r="G54" s="18"/>
    </row>
    <row r="55" spans="2:7" s="3" customFormat="1" x14ac:dyDescent="0.3">
      <c r="B55" s="3" t="s">
        <v>53</v>
      </c>
      <c r="C55" s="3" t="s">
        <v>32</v>
      </c>
      <c r="D55" s="8"/>
      <c r="E55" s="3">
        <v>1</v>
      </c>
      <c r="F55" s="52">
        <v>3766.54</v>
      </c>
      <c r="G55" s="18"/>
    </row>
    <row r="56" spans="2:7" s="3" customFormat="1" x14ac:dyDescent="0.3">
      <c r="B56" s="3" t="s">
        <v>47</v>
      </c>
      <c r="C56" s="3" t="s">
        <v>33</v>
      </c>
      <c r="D56" s="8"/>
      <c r="E56" s="3">
        <v>2</v>
      </c>
      <c r="F56" s="52">
        <v>2385.0300000000002</v>
      </c>
      <c r="G56" s="18"/>
    </row>
    <row r="57" spans="2:7" s="3" customFormat="1" x14ac:dyDescent="0.3">
      <c r="B57" s="3" t="s">
        <v>59</v>
      </c>
      <c r="C57" s="3" t="s">
        <v>34</v>
      </c>
      <c r="D57" s="8"/>
      <c r="E57" s="3">
        <v>1</v>
      </c>
      <c r="F57" s="52">
        <v>4585.08</v>
      </c>
      <c r="G57" s="18"/>
    </row>
    <row r="58" spans="2:7" s="3" customFormat="1" x14ac:dyDescent="0.3">
      <c r="B58" s="3" t="s">
        <v>62</v>
      </c>
      <c r="C58" s="3" t="s">
        <v>35</v>
      </c>
      <c r="D58" s="8"/>
      <c r="E58" s="3">
        <v>1</v>
      </c>
      <c r="F58" s="52">
        <v>1919.52</v>
      </c>
      <c r="G58" s="18"/>
    </row>
    <row r="59" spans="2:7" s="3" customFormat="1" x14ac:dyDescent="0.3">
      <c r="B59" s="3" t="s">
        <v>54</v>
      </c>
      <c r="C59" s="3" t="s">
        <v>36</v>
      </c>
      <c r="D59" s="8"/>
      <c r="E59" s="3">
        <v>1</v>
      </c>
      <c r="F59" s="52">
        <v>1085.3499999999999</v>
      </c>
      <c r="G59" s="18"/>
    </row>
    <row r="60" spans="2:7" s="3" customFormat="1" x14ac:dyDescent="0.3">
      <c r="B60" s="3" t="s">
        <v>63</v>
      </c>
      <c r="C60" s="3" t="s">
        <v>37</v>
      </c>
      <c r="D60" s="8"/>
      <c r="E60" s="3">
        <v>2</v>
      </c>
      <c r="F60" s="52">
        <v>1230.58</v>
      </c>
      <c r="G60" s="18"/>
    </row>
    <row r="61" spans="2:7" s="3" customFormat="1" x14ac:dyDescent="0.3">
      <c r="B61" s="3" t="s">
        <v>60</v>
      </c>
      <c r="C61" s="3" t="s">
        <v>38</v>
      </c>
      <c r="D61" s="8"/>
      <c r="E61" s="3">
        <v>8</v>
      </c>
      <c r="F61" s="52">
        <v>1089.99</v>
      </c>
      <c r="G61" s="18"/>
    </row>
    <row r="62" spans="2:7" s="3" customFormat="1" x14ac:dyDescent="0.3">
      <c r="B62" s="3" t="s">
        <v>64</v>
      </c>
      <c r="C62" s="3" t="s">
        <v>40</v>
      </c>
      <c r="D62" s="8"/>
      <c r="E62" s="3">
        <v>12</v>
      </c>
      <c r="F62" s="52">
        <v>1615.98</v>
      </c>
      <c r="G62" s="18"/>
    </row>
    <row r="63" spans="2:7" s="3" customFormat="1" x14ac:dyDescent="0.3">
      <c r="B63" s="3" t="s">
        <v>56</v>
      </c>
      <c r="C63" s="3" t="s">
        <v>41</v>
      </c>
      <c r="D63" s="8"/>
      <c r="E63" s="3">
        <v>29</v>
      </c>
      <c r="F63" s="52">
        <v>80000</v>
      </c>
      <c r="G63" s="18"/>
    </row>
    <row r="64" spans="2:7" s="3" customFormat="1" x14ac:dyDescent="0.3">
      <c r="B64" s="3" t="s">
        <v>65</v>
      </c>
      <c r="C64" s="3" t="s">
        <v>42</v>
      </c>
      <c r="D64" s="8"/>
      <c r="E64" s="3">
        <v>3</v>
      </c>
      <c r="F64" s="52">
        <v>4736.91</v>
      </c>
      <c r="G64" s="18"/>
    </row>
    <row r="65" spans="2:7" s="3" customFormat="1" x14ac:dyDescent="0.3">
      <c r="B65" s="3" t="s">
        <v>66</v>
      </c>
      <c r="C65" s="3" t="s">
        <v>43</v>
      </c>
      <c r="D65" s="8"/>
      <c r="E65" s="3">
        <v>19</v>
      </c>
      <c r="F65" s="52">
        <v>1892.59</v>
      </c>
      <c r="G65" s="18"/>
    </row>
    <row r="66" spans="2:7" s="3" customFormat="1" x14ac:dyDescent="0.3">
      <c r="B66" s="3" t="s">
        <v>67</v>
      </c>
      <c r="C66" s="3" t="s">
        <v>44</v>
      </c>
      <c r="D66" s="8"/>
      <c r="E66" s="3">
        <v>3</v>
      </c>
      <c r="F66" s="52">
        <v>2703.91</v>
      </c>
      <c r="G66" s="18"/>
    </row>
    <row r="67" spans="2:7" s="3" customFormat="1" x14ac:dyDescent="0.3">
      <c r="B67" s="3" t="s">
        <v>68</v>
      </c>
      <c r="C67" s="3" t="s">
        <v>45</v>
      </c>
      <c r="D67" s="38"/>
      <c r="E67" s="3">
        <v>8</v>
      </c>
      <c r="F67" s="52">
        <v>3719.48</v>
      </c>
      <c r="G67" s="40"/>
    </row>
    <row r="68" spans="2:7" s="3" customFormat="1" x14ac:dyDescent="0.3">
      <c r="B68" s="3">
        <v>46086</v>
      </c>
      <c r="C68" s="3" t="s">
        <v>14</v>
      </c>
      <c r="D68" s="8"/>
      <c r="E68" s="3">
        <v>10</v>
      </c>
      <c r="F68" s="52">
        <v>11563.94</v>
      </c>
      <c r="G68" s="18"/>
    </row>
    <row r="69" spans="2:7" s="3" customFormat="1" x14ac:dyDescent="0.3">
      <c r="B69" s="3" t="s">
        <v>72</v>
      </c>
      <c r="C69" s="3" t="s">
        <v>15</v>
      </c>
      <c r="D69" s="8"/>
      <c r="E69" s="3">
        <v>3</v>
      </c>
      <c r="F69" s="52">
        <v>15000</v>
      </c>
      <c r="G69" s="18"/>
    </row>
    <row r="70" spans="2:7" s="3" customFormat="1" x14ac:dyDescent="0.3">
      <c r="B70" s="3">
        <v>46140</v>
      </c>
      <c r="C70" s="3" t="s">
        <v>16</v>
      </c>
      <c r="D70" s="8"/>
      <c r="E70" s="3">
        <v>18</v>
      </c>
      <c r="F70" s="52">
        <v>22000</v>
      </c>
      <c r="G70" s="18"/>
    </row>
    <row r="71" spans="2:7" s="3" customFormat="1" x14ac:dyDescent="0.3">
      <c r="B71" s="3">
        <v>46098</v>
      </c>
      <c r="C71" s="3" t="s">
        <v>17</v>
      </c>
      <c r="D71" s="8"/>
      <c r="E71" s="3">
        <v>15</v>
      </c>
      <c r="F71" s="52">
        <v>15840.54</v>
      </c>
      <c r="G71" s="18"/>
    </row>
    <row r="72" spans="2:7" s="3" customFormat="1" x14ac:dyDescent="0.3">
      <c r="B72" s="3">
        <v>46166</v>
      </c>
      <c r="C72" s="3" t="s">
        <v>18</v>
      </c>
      <c r="D72" s="8"/>
      <c r="E72" s="3">
        <v>44</v>
      </c>
      <c r="F72" s="52">
        <v>39000</v>
      </c>
      <c r="G72" s="18"/>
    </row>
    <row r="73" spans="2:7" s="3" customFormat="1" x14ac:dyDescent="0.3">
      <c r="B73" s="3">
        <v>46093</v>
      </c>
      <c r="C73" s="3" t="s">
        <v>19</v>
      </c>
      <c r="D73" s="8"/>
      <c r="E73" s="3">
        <v>24</v>
      </c>
      <c r="F73" s="52">
        <v>16248.89</v>
      </c>
      <c r="G73" s="18"/>
    </row>
    <row r="74" spans="2:7" s="3" customFormat="1" x14ac:dyDescent="0.3">
      <c r="B74" s="3">
        <v>46097</v>
      </c>
      <c r="C74" s="3" t="s">
        <v>20</v>
      </c>
      <c r="D74" s="8"/>
      <c r="E74" s="3">
        <v>17</v>
      </c>
      <c r="F74" s="52">
        <v>16114.1</v>
      </c>
      <c r="G74" s="18"/>
    </row>
    <row r="75" spans="2:7" s="3" customFormat="1" x14ac:dyDescent="0.3">
      <c r="B75" s="3">
        <v>46109</v>
      </c>
      <c r="C75" s="3" t="s">
        <v>21</v>
      </c>
      <c r="D75" s="8"/>
      <c r="E75" s="3">
        <v>16</v>
      </c>
      <c r="F75" s="52">
        <v>13903.65</v>
      </c>
      <c r="G75" s="18"/>
    </row>
    <row r="76" spans="2:7" s="3" customFormat="1" x14ac:dyDescent="0.3">
      <c r="B76" s="3">
        <v>46104</v>
      </c>
      <c r="C76" s="3" t="s">
        <v>22</v>
      </c>
      <c r="D76" s="8"/>
      <c r="E76" s="3">
        <v>23</v>
      </c>
      <c r="F76" s="52">
        <v>2231.8000000000002</v>
      </c>
      <c r="G76" s="18"/>
    </row>
    <row r="77" spans="2:7" s="3" customFormat="1" x14ac:dyDescent="0.3">
      <c r="B77" s="3" t="s">
        <v>71</v>
      </c>
      <c r="C77" s="3" t="s">
        <v>23</v>
      </c>
      <c r="D77" s="8"/>
      <c r="E77" s="3">
        <v>20</v>
      </c>
      <c r="F77" s="52">
        <v>15006.03</v>
      </c>
      <c r="G77" s="18"/>
    </row>
    <row r="78" spans="2:7" s="3" customFormat="1" x14ac:dyDescent="0.3">
      <c r="B78" s="3" t="s">
        <v>66</v>
      </c>
      <c r="C78" s="3" t="s">
        <v>24</v>
      </c>
      <c r="D78" s="8"/>
      <c r="E78" s="3">
        <v>40</v>
      </c>
      <c r="F78" s="52">
        <v>4357.7700000000004</v>
      </c>
      <c r="G78" s="18"/>
    </row>
    <row r="79" spans="2:7" s="3" customFormat="1" x14ac:dyDescent="0.3">
      <c r="B79" s="3" t="s">
        <v>72</v>
      </c>
      <c r="C79" s="3" t="s">
        <v>25</v>
      </c>
      <c r="D79" s="8"/>
      <c r="E79" s="3">
        <v>39</v>
      </c>
      <c r="F79" s="52">
        <v>18398.099999999999</v>
      </c>
      <c r="G79" s="18"/>
    </row>
    <row r="80" spans="2:7" s="3" customFormat="1" x14ac:dyDescent="0.3">
      <c r="B80" s="3" t="s">
        <v>73</v>
      </c>
      <c r="C80" s="3" t="s">
        <v>39</v>
      </c>
      <c r="D80" s="8"/>
      <c r="E80" s="3">
        <v>37</v>
      </c>
      <c r="F80" s="52">
        <v>4534.46</v>
      </c>
      <c r="G80" s="18"/>
    </row>
    <row r="81" spans="2:7" s="3" customFormat="1" x14ac:dyDescent="0.3">
      <c r="B81" s="3">
        <v>46086</v>
      </c>
      <c r="C81" s="3" t="s">
        <v>26</v>
      </c>
      <c r="D81" s="8"/>
      <c r="E81" s="3">
        <v>76</v>
      </c>
      <c r="F81" s="52">
        <v>320000</v>
      </c>
      <c r="G81" s="18"/>
    </row>
    <row r="82" spans="2:7" s="3" customFormat="1" x14ac:dyDescent="0.3">
      <c r="B82" s="3" t="s">
        <v>72</v>
      </c>
      <c r="C82" s="3" t="s">
        <v>27</v>
      </c>
      <c r="D82" s="8"/>
      <c r="E82" s="3">
        <v>43</v>
      </c>
      <c r="F82" s="52">
        <v>110000</v>
      </c>
      <c r="G82" s="18"/>
    </row>
    <row r="83" spans="2:7" s="3" customFormat="1" x14ac:dyDescent="0.3">
      <c r="B83" s="3">
        <v>46140</v>
      </c>
      <c r="C83" s="3" t="s">
        <v>28</v>
      </c>
      <c r="D83" s="8"/>
      <c r="E83" s="3">
        <v>34</v>
      </c>
      <c r="F83" s="52">
        <v>90000</v>
      </c>
      <c r="G83" s="18"/>
    </row>
    <row r="84" spans="2:7" s="3" customFormat="1" x14ac:dyDescent="0.3">
      <c r="B84" s="3">
        <v>46098</v>
      </c>
      <c r="C84" s="3" t="s">
        <v>30</v>
      </c>
      <c r="D84" s="8"/>
      <c r="E84" s="3">
        <v>7</v>
      </c>
      <c r="F84" s="52">
        <v>11907.86</v>
      </c>
      <c r="G84" s="18"/>
    </row>
    <row r="85" spans="2:7" s="3" customFormat="1" x14ac:dyDescent="0.3">
      <c r="B85" s="3">
        <v>46166</v>
      </c>
      <c r="C85" s="3" t="s">
        <v>29</v>
      </c>
      <c r="D85" s="8"/>
      <c r="E85" s="3">
        <v>8</v>
      </c>
      <c r="F85" s="52">
        <v>2377.3200000000002</v>
      </c>
      <c r="G85" s="18"/>
    </row>
    <row r="86" spans="2:7" s="3" customFormat="1" x14ac:dyDescent="0.3">
      <c r="B86" s="3">
        <v>46093</v>
      </c>
      <c r="C86" s="3" t="s">
        <v>31</v>
      </c>
      <c r="D86" s="8"/>
      <c r="E86" s="3">
        <v>3</v>
      </c>
      <c r="F86" s="52">
        <v>17104.3</v>
      </c>
      <c r="G86" s="18"/>
    </row>
    <row r="87" spans="2:7" s="3" customFormat="1" x14ac:dyDescent="0.3">
      <c r="B87" s="3">
        <v>46097</v>
      </c>
      <c r="C87" s="3" t="s">
        <v>32</v>
      </c>
      <c r="D87" s="8"/>
      <c r="E87" s="3">
        <v>6</v>
      </c>
      <c r="F87" s="52">
        <v>6212.31</v>
      </c>
      <c r="G87" s="18"/>
    </row>
    <row r="88" spans="2:7" s="3" customFormat="1" x14ac:dyDescent="0.3">
      <c r="B88" s="3">
        <v>46109</v>
      </c>
      <c r="C88" s="3" t="s">
        <v>33</v>
      </c>
      <c r="D88" s="8"/>
      <c r="E88" s="3">
        <v>2</v>
      </c>
      <c r="F88" s="52">
        <v>4945.3500000000004</v>
      </c>
      <c r="G88" s="18"/>
    </row>
    <row r="89" spans="2:7" s="3" customFormat="1" x14ac:dyDescent="0.3">
      <c r="B89" s="3">
        <v>46104</v>
      </c>
      <c r="C89" s="3" t="s">
        <v>34</v>
      </c>
      <c r="D89" s="8"/>
      <c r="E89" s="3">
        <v>3</v>
      </c>
      <c r="F89" s="52">
        <v>8182.36</v>
      </c>
      <c r="G89" s="18"/>
    </row>
    <row r="90" spans="2:7" s="3" customFormat="1" x14ac:dyDescent="0.3">
      <c r="B90" s="3" t="s">
        <v>71</v>
      </c>
      <c r="C90" s="3" t="s">
        <v>35</v>
      </c>
      <c r="D90" s="8"/>
      <c r="E90" s="3">
        <v>1</v>
      </c>
      <c r="F90" s="52">
        <v>15208.96</v>
      </c>
      <c r="G90" s="18"/>
    </row>
    <row r="91" spans="2:7" s="3" customFormat="1" x14ac:dyDescent="0.3">
      <c r="B91" s="3" t="s">
        <v>66</v>
      </c>
      <c r="C91" s="3" t="s">
        <v>36</v>
      </c>
      <c r="D91" s="8"/>
      <c r="E91" s="3">
        <v>2</v>
      </c>
      <c r="F91" s="52">
        <v>5084.22</v>
      </c>
      <c r="G91" s="18"/>
    </row>
    <row r="92" spans="2:7" s="3" customFormat="1" x14ac:dyDescent="0.3">
      <c r="B92" s="3" t="s">
        <v>72</v>
      </c>
      <c r="C92" s="3" t="s">
        <v>37</v>
      </c>
      <c r="D92" s="8"/>
      <c r="E92" s="3">
        <v>9</v>
      </c>
      <c r="F92" s="52">
        <v>20000</v>
      </c>
      <c r="G92" s="18"/>
    </row>
    <row r="93" spans="2:7" s="3" customFormat="1" x14ac:dyDescent="0.3">
      <c r="B93" s="3" t="s">
        <v>75</v>
      </c>
      <c r="C93" s="3" t="s">
        <v>38</v>
      </c>
      <c r="D93" s="8"/>
      <c r="E93" s="3">
        <v>8</v>
      </c>
      <c r="F93" s="52">
        <v>13904.47</v>
      </c>
      <c r="G93" s="18"/>
    </row>
    <row r="94" spans="2:7" s="3" customFormat="1" x14ac:dyDescent="0.3">
      <c r="B94" s="3">
        <v>46086</v>
      </c>
      <c r="C94" s="3" t="s">
        <v>40</v>
      </c>
      <c r="D94" s="8"/>
      <c r="E94" s="3">
        <v>12</v>
      </c>
      <c r="F94" s="52">
        <v>10657.81</v>
      </c>
      <c r="G94" s="18"/>
    </row>
    <row r="95" spans="2:7" s="3" customFormat="1" x14ac:dyDescent="0.3">
      <c r="B95" s="3">
        <v>46105</v>
      </c>
      <c r="C95" s="3" t="s">
        <v>41</v>
      </c>
      <c r="D95" s="8"/>
      <c r="E95" s="3">
        <v>45</v>
      </c>
      <c r="F95" s="52">
        <v>200000</v>
      </c>
      <c r="G95" s="18"/>
    </row>
    <row r="96" spans="2:7" s="3" customFormat="1" x14ac:dyDescent="0.3">
      <c r="B96" s="3" t="s">
        <v>72</v>
      </c>
      <c r="C96" s="3" t="s">
        <v>42</v>
      </c>
      <c r="D96" s="8"/>
      <c r="E96" s="3">
        <v>18</v>
      </c>
      <c r="F96" s="52">
        <v>5242.32</v>
      </c>
      <c r="G96" s="18"/>
    </row>
    <row r="97" spans="2:7" s="3" customFormat="1" x14ac:dyDescent="0.3">
      <c r="B97" s="42">
        <v>46098</v>
      </c>
      <c r="C97" s="3" t="s">
        <v>43</v>
      </c>
      <c r="D97" s="8"/>
      <c r="E97" s="3">
        <v>15</v>
      </c>
      <c r="F97" s="52">
        <v>14419.41</v>
      </c>
      <c r="G97" s="18"/>
    </row>
    <row r="98" spans="2:7" s="3" customFormat="1" x14ac:dyDescent="0.3">
      <c r="B98" s="42">
        <v>46166</v>
      </c>
      <c r="C98" s="3" t="s">
        <v>44</v>
      </c>
      <c r="D98" s="8"/>
      <c r="E98" s="3">
        <v>32</v>
      </c>
      <c r="F98" s="52">
        <v>1660.67</v>
      </c>
      <c r="G98" s="18"/>
    </row>
    <row r="99" spans="2:7" s="3" customFormat="1" x14ac:dyDescent="0.3">
      <c r="B99" s="42">
        <v>46093</v>
      </c>
      <c r="C99" s="3" t="s">
        <v>45</v>
      </c>
      <c r="D99" s="38"/>
      <c r="E99" s="3">
        <v>7</v>
      </c>
      <c r="F99" s="52">
        <v>7373.87</v>
      </c>
      <c r="G99" s="40"/>
    </row>
    <row r="100" spans="2:7" s="3" customFormat="1" x14ac:dyDescent="0.3">
      <c r="B100" s="3" t="s">
        <v>75</v>
      </c>
      <c r="C100" s="3" t="s">
        <v>27</v>
      </c>
      <c r="D100" s="8"/>
      <c r="E100" s="3">
        <v>2</v>
      </c>
      <c r="F100" s="52">
        <v>50000</v>
      </c>
      <c r="G100" s="18"/>
    </row>
    <row r="101" spans="2:7" s="3" customFormat="1" x14ac:dyDescent="0.3">
      <c r="B101" s="3" t="s">
        <v>92</v>
      </c>
      <c r="C101" s="3" t="s">
        <v>23</v>
      </c>
      <c r="D101" s="8"/>
      <c r="E101" s="3">
        <v>13</v>
      </c>
      <c r="F101" s="52">
        <v>2838.19</v>
      </c>
      <c r="G101" s="18"/>
    </row>
    <row r="102" spans="2:7" s="3" customFormat="1" x14ac:dyDescent="0.3">
      <c r="B102" s="3" t="s">
        <v>77</v>
      </c>
      <c r="C102" s="3" t="s">
        <v>27</v>
      </c>
      <c r="D102" s="8"/>
      <c r="E102" s="3">
        <v>13</v>
      </c>
      <c r="F102" s="52">
        <v>20000</v>
      </c>
      <c r="G102" s="18"/>
    </row>
    <row r="103" spans="2:7" s="3" customFormat="1" x14ac:dyDescent="0.3">
      <c r="B103" s="3" t="s">
        <v>93</v>
      </c>
      <c r="C103" s="3" t="s">
        <v>41</v>
      </c>
      <c r="D103" s="8"/>
      <c r="E103" s="3">
        <v>41</v>
      </c>
      <c r="F103" s="52">
        <v>180000</v>
      </c>
      <c r="G103" s="18"/>
    </row>
    <row r="104" spans="2:7" s="3" customFormat="1" x14ac:dyDescent="0.3">
      <c r="B104" s="3" t="s">
        <v>94</v>
      </c>
      <c r="C104" s="3" t="s">
        <v>37</v>
      </c>
      <c r="D104" s="8"/>
      <c r="E104" s="3">
        <v>7</v>
      </c>
      <c r="F104" s="52">
        <v>2855.36</v>
      </c>
      <c r="G104" s="18"/>
    </row>
    <row r="105" spans="2:7" s="3" customFormat="1" x14ac:dyDescent="0.3">
      <c r="B105" s="3" t="s">
        <v>95</v>
      </c>
      <c r="C105" s="3" t="s">
        <v>20</v>
      </c>
      <c r="D105" s="8"/>
      <c r="E105" s="3">
        <v>9</v>
      </c>
      <c r="F105" s="52">
        <v>2797.3</v>
      </c>
      <c r="G105" s="18"/>
    </row>
    <row r="106" spans="2:7" s="3" customFormat="1" x14ac:dyDescent="0.3">
      <c r="B106" s="3" t="s">
        <v>50</v>
      </c>
      <c r="C106" s="3" t="s">
        <v>24</v>
      </c>
      <c r="D106" s="8"/>
      <c r="E106" s="3">
        <v>30</v>
      </c>
      <c r="F106" s="52">
        <v>50000</v>
      </c>
      <c r="G106" s="18"/>
    </row>
    <row r="107" spans="2:7" s="3" customFormat="1" x14ac:dyDescent="0.3">
      <c r="B107" s="3" t="s">
        <v>96</v>
      </c>
      <c r="C107" s="3" t="s">
        <v>17</v>
      </c>
      <c r="D107" s="8"/>
      <c r="E107" s="3">
        <v>10</v>
      </c>
      <c r="F107" s="52">
        <v>3535.04</v>
      </c>
      <c r="G107" s="18"/>
    </row>
    <row r="108" spans="2:7" s="3" customFormat="1" x14ac:dyDescent="0.3">
      <c r="B108" s="3" t="s">
        <v>67</v>
      </c>
      <c r="C108" s="3" t="s">
        <v>24</v>
      </c>
      <c r="D108" s="8"/>
      <c r="E108" s="3">
        <v>23</v>
      </c>
      <c r="F108" s="52">
        <v>1694.03</v>
      </c>
      <c r="G108" s="18"/>
    </row>
    <row r="109" spans="2:7" s="3" customFormat="1" x14ac:dyDescent="0.3">
      <c r="B109" s="3" t="s">
        <v>97</v>
      </c>
      <c r="C109" s="3" t="s">
        <v>15</v>
      </c>
      <c r="D109" s="8"/>
      <c r="E109" s="3">
        <v>2</v>
      </c>
      <c r="F109" s="52">
        <v>4574.16</v>
      </c>
      <c r="G109" s="18"/>
    </row>
    <row r="110" spans="2:7" s="3" customFormat="1" x14ac:dyDescent="0.3">
      <c r="B110" s="3" t="s">
        <v>81</v>
      </c>
      <c r="C110" s="3" t="s">
        <v>41</v>
      </c>
      <c r="D110" s="8"/>
      <c r="E110" s="3">
        <v>19</v>
      </c>
      <c r="F110" s="52">
        <v>20000</v>
      </c>
      <c r="G110" s="18"/>
    </row>
    <row r="111" spans="2:7" s="3" customFormat="1" x14ac:dyDescent="0.3">
      <c r="B111" s="3" t="s">
        <v>80</v>
      </c>
      <c r="C111" s="3" t="s">
        <v>24</v>
      </c>
      <c r="D111" s="8"/>
      <c r="E111" s="3">
        <v>26</v>
      </c>
      <c r="F111" s="52">
        <v>424.67</v>
      </c>
      <c r="G111" s="18"/>
    </row>
    <row r="112" spans="2:7" s="3" customFormat="1" x14ac:dyDescent="0.3">
      <c r="B112" s="3" t="s">
        <v>98</v>
      </c>
      <c r="C112" s="3" t="s">
        <v>42</v>
      </c>
      <c r="D112" s="8"/>
      <c r="E112" s="3">
        <v>7</v>
      </c>
      <c r="F112" s="52">
        <v>50000</v>
      </c>
      <c r="G112" s="18"/>
    </row>
    <row r="113" spans="2:7" s="3" customFormat="1" x14ac:dyDescent="0.3">
      <c r="B113" s="3" t="s">
        <v>79</v>
      </c>
      <c r="C113" s="3" t="s">
        <v>33</v>
      </c>
      <c r="D113" s="8"/>
      <c r="E113" s="3">
        <v>2</v>
      </c>
      <c r="F113" s="52">
        <v>762.2</v>
      </c>
      <c r="G113" s="18"/>
    </row>
    <row r="114" spans="2:7" s="3" customFormat="1" x14ac:dyDescent="0.3">
      <c r="B114" s="3" t="s">
        <v>99</v>
      </c>
      <c r="C114" s="3" t="s">
        <v>37</v>
      </c>
      <c r="D114" s="8"/>
      <c r="E114" s="3">
        <v>2</v>
      </c>
      <c r="F114" s="52">
        <v>3981.09</v>
      </c>
      <c r="G114" s="18"/>
    </row>
    <row r="115" spans="2:7" s="3" customFormat="1" x14ac:dyDescent="0.3">
      <c r="B115" s="3" t="s">
        <v>61</v>
      </c>
      <c r="C115" s="3" t="s">
        <v>20</v>
      </c>
      <c r="D115" s="8"/>
      <c r="E115" s="3">
        <v>7</v>
      </c>
      <c r="F115" s="52">
        <v>754.62</v>
      </c>
      <c r="G115" s="18"/>
    </row>
    <row r="116" spans="2:7" s="3" customFormat="1" x14ac:dyDescent="0.3">
      <c r="B116" s="3" t="s">
        <v>54</v>
      </c>
      <c r="C116" s="3" t="s">
        <v>15</v>
      </c>
      <c r="D116" s="8"/>
      <c r="E116" s="3">
        <v>2</v>
      </c>
      <c r="F116" s="52">
        <v>6127.7</v>
      </c>
      <c r="G116" s="18"/>
    </row>
    <row r="117" spans="2:7" s="3" customFormat="1" x14ac:dyDescent="0.3">
      <c r="B117" s="3" t="s">
        <v>98</v>
      </c>
      <c r="C117" s="3" t="s">
        <v>28</v>
      </c>
      <c r="D117" s="8"/>
      <c r="E117" s="3">
        <v>5</v>
      </c>
      <c r="F117" s="52">
        <v>915.32</v>
      </c>
      <c r="G117" s="18"/>
    </row>
    <row r="118" spans="2:7" s="3" customFormat="1" x14ac:dyDescent="0.3">
      <c r="B118" s="3" t="s">
        <v>51</v>
      </c>
      <c r="C118" s="3" t="s">
        <v>42</v>
      </c>
      <c r="D118" s="8"/>
      <c r="E118" s="3">
        <v>9</v>
      </c>
      <c r="F118" s="52">
        <v>150000</v>
      </c>
      <c r="G118" s="18"/>
    </row>
    <row r="119" spans="2:7" s="3" customFormat="1" x14ac:dyDescent="0.3">
      <c r="B119" s="3" t="s">
        <v>57</v>
      </c>
      <c r="C119" s="3" t="s">
        <v>28</v>
      </c>
      <c r="D119" s="8"/>
      <c r="E119" s="3">
        <v>8</v>
      </c>
      <c r="F119" s="52">
        <v>825</v>
      </c>
      <c r="G119" s="18"/>
    </row>
    <row r="120" spans="2:7" s="3" customFormat="1" x14ac:dyDescent="0.3">
      <c r="B120" s="3" t="s">
        <v>67</v>
      </c>
      <c r="C120" s="3" t="s">
        <v>37</v>
      </c>
      <c r="D120" s="8"/>
      <c r="E120" s="3">
        <v>4</v>
      </c>
      <c r="F120" s="52">
        <v>3102.86</v>
      </c>
      <c r="G120" s="18"/>
    </row>
    <row r="121" spans="2:7" s="3" customFormat="1" x14ac:dyDescent="0.3">
      <c r="B121" s="3" t="s">
        <v>100</v>
      </c>
      <c r="C121" s="3" t="s">
        <v>28</v>
      </c>
      <c r="D121" s="8"/>
      <c r="E121" s="3">
        <v>29</v>
      </c>
      <c r="F121" s="52">
        <v>25000</v>
      </c>
      <c r="G121" s="18"/>
    </row>
    <row r="122" spans="2:7" s="3" customFormat="1" x14ac:dyDescent="0.3">
      <c r="B122" s="3" t="s">
        <v>101</v>
      </c>
      <c r="C122" s="3" t="s">
        <v>23</v>
      </c>
      <c r="D122" s="8"/>
      <c r="E122" s="3">
        <v>13</v>
      </c>
      <c r="F122" s="52">
        <v>5413.26</v>
      </c>
      <c r="G122" s="18"/>
    </row>
    <row r="123" spans="2:7" s="3" customFormat="1" x14ac:dyDescent="0.3">
      <c r="B123" s="3" t="s">
        <v>102</v>
      </c>
      <c r="C123" s="3" t="s">
        <v>21</v>
      </c>
      <c r="D123" s="8"/>
      <c r="E123" s="3">
        <v>6</v>
      </c>
      <c r="F123" s="52">
        <v>323.60000000000002</v>
      </c>
      <c r="G123" s="18"/>
    </row>
    <row r="124" spans="2:7" s="3" customFormat="1" x14ac:dyDescent="0.3">
      <c r="B124" s="3" t="s">
        <v>62</v>
      </c>
      <c r="C124" s="3" t="s">
        <v>14</v>
      </c>
      <c r="D124" s="8"/>
      <c r="E124" s="3">
        <v>3</v>
      </c>
      <c r="F124" s="52">
        <v>5536.55</v>
      </c>
      <c r="G124" s="18"/>
    </row>
    <row r="125" spans="2:7" s="3" customFormat="1" x14ac:dyDescent="0.3">
      <c r="B125" s="3" t="s">
        <v>77</v>
      </c>
      <c r="C125" s="3" t="s">
        <v>32</v>
      </c>
      <c r="D125" s="8"/>
      <c r="E125" s="3">
        <v>1</v>
      </c>
      <c r="F125" s="52">
        <v>802.94</v>
      </c>
      <c r="G125" s="18"/>
    </row>
    <row r="126" spans="2:7" s="3" customFormat="1" x14ac:dyDescent="0.3">
      <c r="B126" s="3" t="s">
        <v>102</v>
      </c>
      <c r="C126" s="3" t="s">
        <v>19</v>
      </c>
      <c r="D126" s="8"/>
      <c r="E126" s="3">
        <v>17</v>
      </c>
      <c r="F126" s="52">
        <v>3956.66</v>
      </c>
      <c r="G126" s="18"/>
    </row>
    <row r="127" spans="2:7" s="3" customFormat="1" x14ac:dyDescent="0.3">
      <c r="B127" s="3" t="s">
        <v>98</v>
      </c>
      <c r="C127" s="3" t="s">
        <v>18</v>
      </c>
      <c r="D127" s="8"/>
      <c r="E127" s="3">
        <v>24</v>
      </c>
      <c r="F127" s="52">
        <v>3778.93</v>
      </c>
      <c r="G127" s="18"/>
    </row>
    <row r="128" spans="2:7" s="3" customFormat="1" x14ac:dyDescent="0.3">
      <c r="B128" s="3" t="s">
        <v>82</v>
      </c>
      <c r="C128" s="3" t="s">
        <v>27</v>
      </c>
      <c r="D128" s="8"/>
      <c r="E128" s="3">
        <v>27</v>
      </c>
      <c r="F128" s="52">
        <v>6862.44</v>
      </c>
      <c r="G128" s="18"/>
    </row>
    <row r="129" spans="2:7" s="3" customFormat="1" x14ac:dyDescent="0.3">
      <c r="B129" s="3" t="s">
        <v>74</v>
      </c>
      <c r="C129" s="3" t="s">
        <v>27</v>
      </c>
      <c r="D129" s="8"/>
      <c r="E129" s="3">
        <v>28</v>
      </c>
      <c r="F129" s="52">
        <v>290000</v>
      </c>
      <c r="G129" s="18"/>
    </row>
    <row r="130" spans="2:7" s="3" customFormat="1" x14ac:dyDescent="0.3">
      <c r="B130" s="3" t="s">
        <v>82</v>
      </c>
      <c r="C130" s="3" t="s">
        <v>15</v>
      </c>
      <c r="D130" s="8"/>
      <c r="E130" s="3">
        <v>1</v>
      </c>
      <c r="F130" s="52">
        <v>5467.56</v>
      </c>
      <c r="G130" s="18"/>
    </row>
    <row r="131" spans="2:7" s="3" customFormat="1" x14ac:dyDescent="0.3">
      <c r="B131" s="3" t="s">
        <v>86</v>
      </c>
      <c r="C131" s="3" t="s">
        <v>27</v>
      </c>
      <c r="D131" s="8"/>
      <c r="E131" s="3">
        <v>60</v>
      </c>
      <c r="F131" s="52">
        <v>222000</v>
      </c>
      <c r="G131" s="18"/>
    </row>
    <row r="132" spans="2:7" s="3" customFormat="1" x14ac:dyDescent="0.3">
      <c r="B132" s="3" t="s">
        <v>87</v>
      </c>
      <c r="C132" s="3" t="s">
        <v>22</v>
      </c>
      <c r="D132" s="8"/>
      <c r="E132" s="3">
        <v>3</v>
      </c>
      <c r="F132" s="52">
        <v>2776.22</v>
      </c>
      <c r="G132" s="18"/>
    </row>
    <row r="133" spans="2:7" s="3" customFormat="1" x14ac:dyDescent="0.3">
      <c r="B133" s="3" t="s">
        <v>103</v>
      </c>
      <c r="C133" s="3" t="s">
        <v>21</v>
      </c>
      <c r="D133" s="8"/>
      <c r="E133" s="3">
        <v>2</v>
      </c>
      <c r="F133" s="52">
        <v>959.7</v>
      </c>
      <c r="G133" s="18"/>
    </row>
    <row r="134" spans="2:7" s="3" customFormat="1" x14ac:dyDescent="0.3">
      <c r="B134" s="3" t="s">
        <v>104</v>
      </c>
      <c r="C134" s="3" t="s">
        <v>27</v>
      </c>
      <c r="D134" s="8"/>
      <c r="E134" s="3">
        <v>23</v>
      </c>
      <c r="F134" s="52">
        <v>3906.74</v>
      </c>
      <c r="G134" s="18"/>
    </row>
    <row r="135" spans="2:7" s="3" customFormat="1" x14ac:dyDescent="0.3">
      <c r="B135" s="3" t="s">
        <v>90</v>
      </c>
      <c r="C135" s="3" t="s">
        <v>15</v>
      </c>
      <c r="D135" s="8"/>
      <c r="E135" s="3">
        <v>3</v>
      </c>
      <c r="F135" s="52">
        <v>4763.76</v>
      </c>
      <c r="G135" s="18"/>
    </row>
    <row r="136" spans="2:7" s="3" customFormat="1" x14ac:dyDescent="0.3">
      <c r="B136" s="3" t="s">
        <v>94</v>
      </c>
      <c r="C136" s="3" t="s">
        <v>28</v>
      </c>
      <c r="D136" s="8"/>
      <c r="E136" s="3">
        <v>9</v>
      </c>
      <c r="F136" s="52">
        <v>2835.78</v>
      </c>
      <c r="G136" s="18"/>
    </row>
    <row r="137" spans="2:7" s="3" customFormat="1" x14ac:dyDescent="0.3">
      <c r="B137" s="3" t="s">
        <v>54</v>
      </c>
      <c r="C137" s="3" t="s">
        <v>33</v>
      </c>
      <c r="D137" s="8"/>
      <c r="E137" s="3">
        <v>1</v>
      </c>
      <c r="F137" s="52">
        <v>774.92</v>
      </c>
      <c r="G137" s="18"/>
    </row>
    <row r="138" spans="2:7" s="3" customFormat="1" x14ac:dyDescent="0.3">
      <c r="B138" s="3" t="s">
        <v>105</v>
      </c>
      <c r="C138" s="3" t="s">
        <v>22</v>
      </c>
      <c r="D138" s="8"/>
      <c r="E138" s="3">
        <v>9</v>
      </c>
      <c r="F138" s="52">
        <v>3501.87</v>
      </c>
      <c r="G138" s="18"/>
    </row>
    <row r="139" spans="2:7" s="3" customFormat="1" x14ac:dyDescent="0.3">
      <c r="B139" s="3" t="s">
        <v>82</v>
      </c>
      <c r="C139" s="3" t="s">
        <v>38</v>
      </c>
      <c r="D139" s="8"/>
      <c r="E139" s="3">
        <v>6</v>
      </c>
      <c r="F139" s="52">
        <v>2454.37</v>
      </c>
      <c r="G139" s="18"/>
    </row>
    <row r="140" spans="2:7" s="3" customFormat="1" x14ac:dyDescent="0.3">
      <c r="B140" s="3" t="s">
        <v>89</v>
      </c>
      <c r="C140" s="3" t="s">
        <v>24</v>
      </c>
      <c r="D140" s="8"/>
      <c r="E140" s="3">
        <v>8</v>
      </c>
      <c r="F140" s="52">
        <v>1552.97</v>
      </c>
      <c r="G140" s="18"/>
    </row>
    <row r="141" spans="2:7" s="3" customFormat="1" x14ac:dyDescent="0.3">
      <c r="B141" s="3" t="s">
        <v>84</v>
      </c>
      <c r="C141" s="3" t="s">
        <v>32</v>
      </c>
      <c r="D141" s="8"/>
      <c r="E141" s="3">
        <v>2</v>
      </c>
      <c r="F141" s="52">
        <v>338.39</v>
      </c>
      <c r="G141" s="18"/>
    </row>
    <row r="142" spans="2:7" s="3" customFormat="1" x14ac:dyDescent="0.3">
      <c r="B142" s="3" t="s">
        <v>106</v>
      </c>
      <c r="C142" s="3" t="s">
        <v>28</v>
      </c>
      <c r="D142" s="8"/>
      <c r="E142" s="3">
        <v>47</v>
      </c>
      <c r="F142" s="52">
        <v>2218.0300000000002</v>
      </c>
      <c r="G142" s="18"/>
    </row>
    <row r="143" spans="2:7" s="3" customFormat="1" x14ac:dyDescent="0.3">
      <c r="B143" s="3" t="s">
        <v>95</v>
      </c>
      <c r="C143" s="3" t="s">
        <v>14</v>
      </c>
      <c r="D143" s="8"/>
      <c r="E143" s="3">
        <v>3</v>
      </c>
      <c r="F143" s="52">
        <v>4481.72</v>
      </c>
      <c r="G143" s="18"/>
    </row>
    <row r="144" spans="2:7" s="3" customFormat="1" x14ac:dyDescent="0.3">
      <c r="B144" s="3" t="s">
        <v>54</v>
      </c>
      <c r="C144" s="3" t="s">
        <v>16</v>
      </c>
      <c r="D144" s="8"/>
      <c r="E144" s="3">
        <v>4</v>
      </c>
      <c r="F144" s="52">
        <v>10000</v>
      </c>
      <c r="G144" s="18"/>
    </row>
    <row r="145" spans="2:7" s="3" customFormat="1" x14ac:dyDescent="0.3">
      <c r="B145" s="3" t="s">
        <v>107</v>
      </c>
      <c r="C145" s="3" t="s">
        <v>22</v>
      </c>
      <c r="D145" s="8"/>
      <c r="E145" s="3">
        <v>26</v>
      </c>
      <c r="F145" s="52">
        <v>1167.98</v>
      </c>
      <c r="G145" s="18"/>
    </row>
    <row r="146" spans="2:7" s="3" customFormat="1" x14ac:dyDescent="0.3">
      <c r="B146" s="3" t="s">
        <v>108</v>
      </c>
      <c r="C146" s="3" t="s">
        <v>28</v>
      </c>
      <c r="D146" s="8"/>
      <c r="E146" s="3">
        <v>3</v>
      </c>
      <c r="F146" s="52">
        <v>704.49</v>
      </c>
      <c r="G146" s="18"/>
    </row>
    <row r="147" spans="2:7" s="3" customFormat="1" x14ac:dyDescent="0.3">
      <c r="B147" s="3" t="s">
        <v>77</v>
      </c>
      <c r="C147" s="3" t="s">
        <v>27</v>
      </c>
      <c r="D147" s="8"/>
      <c r="E147" s="3">
        <v>49</v>
      </c>
      <c r="F147" s="52">
        <v>400000</v>
      </c>
      <c r="G147" s="18"/>
    </row>
    <row r="148" spans="2:7" s="3" customFormat="1" x14ac:dyDescent="0.3">
      <c r="B148" s="3" t="s">
        <v>77</v>
      </c>
      <c r="C148" s="3" t="s">
        <v>42</v>
      </c>
      <c r="D148" s="8"/>
      <c r="E148" s="3">
        <v>1</v>
      </c>
      <c r="F148" s="52">
        <v>8875.11</v>
      </c>
      <c r="G148" s="18"/>
    </row>
    <row r="149" spans="2:7" s="3" customFormat="1" x14ac:dyDescent="0.3">
      <c r="B149" s="3" t="s">
        <v>109</v>
      </c>
      <c r="C149" s="3" t="s">
        <v>16</v>
      </c>
      <c r="D149" s="8"/>
      <c r="E149" s="3">
        <v>3</v>
      </c>
      <c r="F149" s="52">
        <v>8000</v>
      </c>
      <c r="G149" s="18"/>
    </row>
    <row r="150" spans="2:7" s="3" customFormat="1" x14ac:dyDescent="0.3">
      <c r="B150" s="3" t="s">
        <v>110</v>
      </c>
      <c r="C150" s="3" t="s">
        <v>28</v>
      </c>
      <c r="D150" s="8"/>
      <c r="E150" s="3">
        <v>33</v>
      </c>
      <c r="F150" s="52">
        <v>30000</v>
      </c>
      <c r="G150" s="18"/>
    </row>
    <row r="151" spans="2:7" s="3" customFormat="1" x14ac:dyDescent="0.3">
      <c r="B151" s="3" t="s">
        <v>69</v>
      </c>
      <c r="C151" s="3" t="s">
        <v>15</v>
      </c>
      <c r="D151" s="8"/>
      <c r="E151" s="3">
        <v>4</v>
      </c>
      <c r="F151" s="52">
        <v>4523.18</v>
      </c>
      <c r="G151" s="18"/>
    </row>
    <row r="152" spans="2:7" s="3" customFormat="1" x14ac:dyDescent="0.3">
      <c r="B152" s="3" t="s">
        <v>77</v>
      </c>
      <c r="C152" s="3" t="s">
        <v>16</v>
      </c>
      <c r="D152" s="8"/>
      <c r="E152" s="3">
        <v>7</v>
      </c>
      <c r="F152" s="52">
        <v>7686.55</v>
      </c>
      <c r="G152" s="18"/>
    </row>
    <row r="153" spans="2:7" s="3" customFormat="1" x14ac:dyDescent="0.3">
      <c r="B153" s="3" t="s">
        <v>60</v>
      </c>
      <c r="C153" s="3" t="s">
        <v>37</v>
      </c>
      <c r="D153" s="8"/>
      <c r="E153" s="3">
        <v>2</v>
      </c>
      <c r="F153" s="52">
        <v>1907.24</v>
      </c>
      <c r="G153" s="18"/>
    </row>
    <row r="154" spans="2:7" s="3" customFormat="1" x14ac:dyDescent="0.3">
      <c r="B154" s="3" t="s">
        <v>78</v>
      </c>
      <c r="C154" s="3" t="s">
        <v>24</v>
      </c>
      <c r="D154" s="8"/>
      <c r="E154" s="3">
        <v>27</v>
      </c>
      <c r="F154" s="52">
        <v>453.38</v>
      </c>
      <c r="G154" s="18"/>
    </row>
    <row r="155" spans="2:7" s="3" customFormat="1" x14ac:dyDescent="0.3">
      <c r="B155" s="3" t="s">
        <v>99</v>
      </c>
      <c r="C155" s="3" t="s">
        <v>33</v>
      </c>
      <c r="D155" s="8"/>
      <c r="E155" s="3">
        <v>1</v>
      </c>
      <c r="F155" s="52">
        <v>1660.11</v>
      </c>
      <c r="G155" s="18"/>
    </row>
    <row r="156" spans="2:7" s="3" customFormat="1" x14ac:dyDescent="0.3">
      <c r="B156" s="3" t="s">
        <v>80</v>
      </c>
      <c r="C156" s="3" t="s">
        <v>17</v>
      </c>
      <c r="D156" s="8"/>
      <c r="E156" s="3">
        <v>11</v>
      </c>
      <c r="F156" s="52">
        <v>2964.5</v>
      </c>
      <c r="G156" s="18"/>
    </row>
    <row r="157" spans="2:7" s="3" customFormat="1" x14ac:dyDescent="0.3">
      <c r="B157" s="3" t="s">
        <v>107</v>
      </c>
      <c r="C157" s="3" t="s">
        <v>15</v>
      </c>
      <c r="D157" s="8"/>
      <c r="E157" s="3">
        <v>3</v>
      </c>
      <c r="F157" s="52">
        <v>4897.07</v>
      </c>
      <c r="G157" s="18"/>
    </row>
    <row r="158" spans="2:7" s="3" customFormat="1" x14ac:dyDescent="0.3">
      <c r="B158" s="3" t="s">
        <v>57</v>
      </c>
      <c r="C158" s="3" t="s">
        <v>33</v>
      </c>
      <c r="D158" s="8"/>
      <c r="E158" s="3">
        <v>1</v>
      </c>
      <c r="F158" s="52">
        <v>1645.21</v>
      </c>
      <c r="G158" s="18"/>
    </row>
    <row r="159" spans="2:7" s="3" customFormat="1" x14ac:dyDescent="0.3">
      <c r="B159" s="3" t="s">
        <v>76</v>
      </c>
      <c r="C159" s="3" t="s">
        <v>21</v>
      </c>
      <c r="D159" s="8"/>
      <c r="E159" s="3">
        <v>2</v>
      </c>
      <c r="F159" s="52">
        <v>1063.1199999999999</v>
      </c>
      <c r="G159" s="18"/>
    </row>
    <row r="160" spans="2:7" s="3" customFormat="1" x14ac:dyDescent="0.3">
      <c r="B160" s="3" t="s">
        <v>60</v>
      </c>
      <c r="C160" s="3" t="s">
        <v>17</v>
      </c>
      <c r="D160" s="8"/>
      <c r="E160" s="3">
        <v>14</v>
      </c>
      <c r="F160" s="52">
        <v>5574.92</v>
      </c>
      <c r="G160" s="18"/>
    </row>
    <row r="161" spans="2:7" s="3" customFormat="1" x14ac:dyDescent="0.3">
      <c r="B161" s="3" t="s">
        <v>69</v>
      </c>
      <c r="C161" s="3" t="s">
        <v>16</v>
      </c>
      <c r="D161" s="8"/>
      <c r="E161" s="3">
        <v>6</v>
      </c>
      <c r="F161" s="52">
        <v>10650.52</v>
      </c>
      <c r="G161" s="18"/>
    </row>
    <row r="162" spans="2:7" s="3" customFormat="1" x14ac:dyDescent="0.3">
      <c r="B162" s="3" t="s">
        <v>50</v>
      </c>
      <c r="C162" s="3" t="s">
        <v>27</v>
      </c>
      <c r="D162" s="8"/>
      <c r="E162" s="3">
        <v>43</v>
      </c>
      <c r="F162" s="52">
        <v>465000</v>
      </c>
      <c r="G162" s="18"/>
    </row>
    <row r="163" spans="2:7" s="3" customFormat="1" x14ac:dyDescent="0.3">
      <c r="B163" s="3" t="s">
        <v>80</v>
      </c>
      <c r="C163" s="3" t="s">
        <v>23</v>
      </c>
      <c r="D163" s="8"/>
      <c r="E163" s="3">
        <v>7</v>
      </c>
      <c r="F163" s="52">
        <v>2858.4</v>
      </c>
      <c r="G163" s="18"/>
    </row>
    <row r="164" spans="2:7" s="3" customFormat="1" x14ac:dyDescent="0.3">
      <c r="B164" s="3" t="s">
        <v>96</v>
      </c>
      <c r="C164" s="3" t="s">
        <v>28</v>
      </c>
      <c r="D164" s="8"/>
      <c r="E164" s="3">
        <v>8</v>
      </c>
      <c r="F164" s="52">
        <v>540.58000000000004</v>
      </c>
      <c r="G164" s="18"/>
    </row>
    <row r="165" spans="2:7" s="3" customFormat="1" x14ac:dyDescent="0.3">
      <c r="B165" s="3" t="s">
        <v>102</v>
      </c>
      <c r="C165" s="3" t="s">
        <v>23</v>
      </c>
      <c r="D165" s="8"/>
      <c r="E165" s="3">
        <v>6</v>
      </c>
      <c r="F165" s="52">
        <v>3570.69</v>
      </c>
      <c r="G165" s="18"/>
    </row>
    <row r="166" spans="2:7" s="3" customFormat="1" x14ac:dyDescent="0.3">
      <c r="B166" s="3" t="s">
        <v>84</v>
      </c>
      <c r="C166" s="3" t="s">
        <v>33</v>
      </c>
      <c r="D166" s="8"/>
      <c r="E166" s="3">
        <v>1</v>
      </c>
      <c r="F166" s="52">
        <v>1250.75</v>
      </c>
      <c r="G166" s="18"/>
    </row>
    <row r="167" spans="2:7" s="3" customFormat="1" x14ac:dyDescent="0.3">
      <c r="B167" s="3" t="s">
        <v>67</v>
      </c>
      <c r="C167" s="3" t="s">
        <v>19</v>
      </c>
      <c r="D167" s="8"/>
      <c r="E167" s="3">
        <v>18</v>
      </c>
      <c r="F167" s="52">
        <v>5420.69</v>
      </c>
      <c r="G167" s="18"/>
    </row>
    <row r="168" spans="2:7" s="3" customFormat="1" x14ac:dyDescent="0.3">
      <c r="B168" s="3" t="s">
        <v>46</v>
      </c>
      <c r="C168" s="3" t="s">
        <v>28</v>
      </c>
      <c r="D168" s="8"/>
      <c r="E168" s="3">
        <v>37</v>
      </c>
      <c r="F168" s="52">
        <v>1176.67</v>
      </c>
      <c r="G168" s="18"/>
    </row>
    <row r="169" spans="2:7" s="3" customFormat="1" x14ac:dyDescent="0.3">
      <c r="B169" s="3" t="s">
        <v>74</v>
      </c>
      <c r="C169" s="3" t="s">
        <v>42</v>
      </c>
      <c r="D169" s="8"/>
      <c r="E169" s="3">
        <v>6</v>
      </c>
      <c r="F169" s="52">
        <v>7238.09</v>
      </c>
      <c r="G169" s="18"/>
    </row>
    <row r="170" spans="2:7" s="3" customFormat="1" x14ac:dyDescent="0.3">
      <c r="B170" s="3" t="s">
        <v>95</v>
      </c>
      <c r="C170" s="3" t="s">
        <v>22</v>
      </c>
      <c r="D170" s="8"/>
      <c r="E170" s="3">
        <v>31</v>
      </c>
      <c r="F170" s="52">
        <v>50000</v>
      </c>
      <c r="G170" s="18"/>
    </row>
    <row r="171" spans="2:7" s="3" customFormat="1" x14ac:dyDescent="0.3">
      <c r="B171" s="3" t="s">
        <v>111</v>
      </c>
      <c r="C171" s="3" t="s">
        <v>42</v>
      </c>
      <c r="D171" s="8"/>
      <c r="E171" s="3">
        <v>2</v>
      </c>
      <c r="F171" s="52">
        <v>7488.75</v>
      </c>
      <c r="G171" s="18"/>
    </row>
    <row r="172" spans="2:7" s="3" customFormat="1" x14ac:dyDescent="0.3">
      <c r="B172" s="3" t="s">
        <v>85</v>
      </c>
      <c r="C172" s="3" t="s">
        <v>33</v>
      </c>
      <c r="D172" s="8"/>
      <c r="E172" s="3">
        <v>1</v>
      </c>
      <c r="F172" s="52">
        <v>866.78</v>
      </c>
      <c r="G172" s="18"/>
    </row>
    <row r="173" spans="2:7" s="3" customFormat="1" x14ac:dyDescent="0.3">
      <c r="B173" s="3" t="s">
        <v>103</v>
      </c>
      <c r="C173" s="3" t="s">
        <v>16</v>
      </c>
      <c r="D173" s="8"/>
      <c r="E173" s="3">
        <v>6</v>
      </c>
      <c r="F173" s="52">
        <v>6135.5</v>
      </c>
      <c r="G173" s="18"/>
    </row>
    <row r="174" spans="2:7" s="3" customFormat="1" x14ac:dyDescent="0.3">
      <c r="B174" s="3" t="s">
        <v>112</v>
      </c>
      <c r="C174" s="3" t="s">
        <v>26</v>
      </c>
      <c r="D174" s="8"/>
      <c r="E174" s="3">
        <v>25</v>
      </c>
      <c r="F174" s="52">
        <v>5643.21</v>
      </c>
      <c r="G174" s="18"/>
    </row>
    <row r="175" spans="2:7" s="3" customFormat="1" x14ac:dyDescent="0.3">
      <c r="B175" s="3" t="s">
        <v>99</v>
      </c>
      <c r="C175" s="3" t="s">
        <v>33</v>
      </c>
      <c r="D175" s="8"/>
      <c r="E175" s="3">
        <v>1</v>
      </c>
      <c r="F175" s="52">
        <v>332.77</v>
      </c>
      <c r="G175" s="18"/>
    </row>
    <row r="176" spans="2:7" s="3" customFormat="1" x14ac:dyDescent="0.3">
      <c r="B176" s="3" t="s">
        <v>99</v>
      </c>
      <c r="C176" s="3" t="s">
        <v>23</v>
      </c>
      <c r="D176" s="8"/>
      <c r="E176" s="3">
        <v>12</v>
      </c>
      <c r="F176" s="52">
        <v>2637.78</v>
      </c>
      <c r="G176" s="18"/>
    </row>
    <row r="177" spans="2:7" s="3" customFormat="1" x14ac:dyDescent="0.3">
      <c r="B177" s="3" t="s">
        <v>86</v>
      </c>
      <c r="C177" s="3" t="s">
        <v>37</v>
      </c>
      <c r="D177" s="8"/>
      <c r="E177" s="3">
        <v>1</v>
      </c>
      <c r="F177" s="52">
        <v>3522.97</v>
      </c>
      <c r="G177" s="18"/>
    </row>
    <row r="178" spans="2:7" s="3" customFormat="1" x14ac:dyDescent="0.3">
      <c r="B178" s="3" t="s">
        <v>107</v>
      </c>
      <c r="C178" s="3" t="s">
        <v>15</v>
      </c>
      <c r="D178" s="8"/>
      <c r="E178" s="3">
        <v>2</v>
      </c>
      <c r="F178" s="52">
        <v>5773.38</v>
      </c>
      <c r="G178" s="18"/>
    </row>
    <row r="179" spans="2:7" s="3" customFormat="1" x14ac:dyDescent="0.3">
      <c r="B179" s="3" t="s">
        <v>99</v>
      </c>
      <c r="C179" s="3" t="s">
        <v>41</v>
      </c>
      <c r="D179" s="8"/>
      <c r="E179" s="3">
        <v>12</v>
      </c>
      <c r="F179" s="52">
        <v>15000</v>
      </c>
      <c r="G179" s="18"/>
    </row>
    <row r="180" spans="2:7" s="3" customFormat="1" x14ac:dyDescent="0.3">
      <c r="B180" s="3" t="s">
        <v>54</v>
      </c>
      <c r="C180" s="3" t="s">
        <v>23</v>
      </c>
      <c r="D180" s="8"/>
      <c r="E180" s="3">
        <v>21</v>
      </c>
      <c r="F180" s="52">
        <v>3196.58</v>
      </c>
      <c r="G180" s="18"/>
    </row>
    <row r="181" spans="2:7" s="3" customFormat="1" x14ac:dyDescent="0.3">
      <c r="B181" s="3" t="s">
        <v>92</v>
      </c>
      <c r="C181" s="3" t="s">
        <v>33</v>
      </c>
      <c r="D181" s="8"/>
      <c r="E181" s="3">
        <v>2</v>
      </c>
      <c r="F181" s="52">
        <v>385.42</v>
      </c>
      <c r="G181" s="18"/>
    </row>
    <row r="182" spans="2:7" s="3" customFormat="1" x14ac:dyDescent="0.3">
      <c r="B182" s="3" t="s">
        <v>113</v>
      </c>
      <c r="C182" s="3" t="s">
        <v>15</v>
      </c>
      <c r="D182" s="8"/>
      <c r="E182" s="3">
        <v>6</v>
      </c>
      <c r="F182" s="52">
        <v>15000</v>
      </c>
      <c r="G182" s="18"/>
    </row>
    <row r="183" spans="2:7" s="3" customFormat="1" x14ac:dyDescent="0.3">
      <c r="B183" s="3" t="s">
        <v>114</v>
      </c>
      <c r="C183" s="3" t="s">
        <v>28</v>
      </c>
      <c r="D183" s="8"/>
      <c r="E183" s="3">
        <v>14</v>
      </c>
      <c r="F183" s="52">
        <v>1918.37</v>
      </c>
      <c r="G183" s="18"/>
    </row>
    <row r="184" spans="2:7" s="3" customFormat="1" x14ac:dyDescent="0.3">
      <c r="B184" s="3" t="s">
        <v>88</v>
      </c>
      <c r="C184" s="3" t="s">
        <v>14</v>
      </c>
      <c r="D184" s="8"/>
      <c r="E184" s="3">
        <v>4</v>
      </c>
      <c r="F184" s="52">
        <v>10324.44</v>
      </c>
      <c r="G184" s="18"/>
    </row>
    <row r="185" spans="2:7" s="3" customFormat="1" x14ac:dyDescent="0.3">
      <c r="B185" s="3" t="s">
        <v>77</v>
      </c>
      <c r="C185" s="3" t="s">
        <v>27</v>
      </c>
      <c r="D185" s="8"/>
      <c r="E185" s="3">
        <v>36</v>
      </c>
      <c r="F185" s="52">
        <v>5991.16</v>
      </c>
      <c r="G185" s="18"/>
    </row>
    <row r="186" spans="2:7" s="3" customFormat="1" x14ac:dyDescent="0.3">
      <c r="B186" s="3" t="s">
        <v>102</v>
      </c>
      <c r="C186" s="3" t="s">
        <v>33</v>
      </c>
      <c r="D186" s="8"/>
      <c r="E186" s="3">
        <v>1</v>
      </c>
      <c r="F186" s="52">
        <v>651.19000000000005</v>
      </c>
      <c r="G186" s="18"/>
    </row>
    <row r="187" spans="2:7" s="3" customFormat="1" x14ac:dyDescent="0.3">
      <c r="B187" s="3" t="s">
        <v>98</v>
      </c>
      <c r="C187" s="3" t="s">
        <v>18</v>
      </c>
      <c r="D187" s="8"/>
      <c r="E187" s="3">
        <v>41</v>
      </c>
      <c r="F187" s="52">
        <v>3144.56</v>
      </c>
      <c r="G187" s="18"/>
    </row>
    <row r="188" spans="2:7" s="3" customFormat="1" x14ac:dyDescent="0.3">
      <c r="B188" s="3" t="s">
        <v>84</v>
      </c>
      <c r="C188" s="3" t="s">
        <v>28</v>
      </c>
      <c r="D188" s="8"/>
      <c r="E188" s="3">
        <v>1</v>
      </c>
      <c r="F188" s="52">
        <v>1715.32</v>
      </c>
      <c r="G188" s="18"/>
    </row>
    <row r="189" spans="2:7" s="3" customFormat="1" x14ac:dyDescent="0.3">
      <c r="B189" s="3" t="s">
        <v>106</v>
      </c>
      <c r="C189" s="3" t="s">
        <v>21</v>
      </c>
      <c r="D189" s="8"/>
      <c r="E189" s="3">
        <v>4</v>
      </c>
      <c r="F189" s="52">
        <v>1402.3</v>
      </c>
      <c r="G189" s="18"/>
    </row>
    <row r="190" spans="2:7" s="3" customFormat="1" x14ac:dyDescent="0.3">
      <c r="B190" s="3" t="s">
        <v>87</v>
      </c>
      <c r="C190" s="3" t="s">
        <v>32</v>
      </c>
      <c r="D190" s="8"/>
      <c r="E190" s="3">
        <v>2</v>
      </c>
      <c r="F190" s="52">
        <v>365.63</v>
      </c>
      <c r="G190" s="18"/>
    </row>
    <row r="191" spans="2:7" s="3" customFormat="1" x14ac:dyDescent="0.3">
      <c r="B191" s="3" t="s">
        <v>63</v>
      </c>
      <c r="C191" s="3" t="s">
        <v>20</v>
      </c>
      <c r="D191" s="8"/>
      <c r="E191" s="3">
        <v>7</v>
      </c>
      <c r="F191" s="52">
        <v>1404.48</v>
      </c>
      <c r="G191" s="18"/>
    </row>
    <row r="192" spans="2:7" s="3" customFormat="1" x14ac:dyDescent="0.3">
      <c r="B192" s="3" t="s">
        <v>58</v>
      </c>
      <c r="C192" s="3" t="s">
        <v>37</v>
      </c>
      <c r="D192" s="8"/>
      <c r="E192" s="3">
        <v>6</v>
      </c>
      <c r="F192" s="52">
        <v>3304.16</v>
      </c>
      <c r="G192" s="18"/>
    </row>
    <row r="193" spans="2:7" s="3" customFormat="1" x14ac:dyDescent="0.3">
      <c r="B193" s="3" t="s">
        <v>77</v>
      </c>
      <c r="C193" s="3" t="s">
        <v>33</v>
      </c>
      <c r="D193" s="8"/>
      <c r="E193" s="3">
        <v>1</v>
      </c>
      <c r="F193" s="52">
        <v>1248.95</v>
      </c>
      <c r="G193" s="18"/>
    </row>
    <row r="194" spans="2:7" s="3" customFormat="1" x14ac:dyDescent="0.3">
      <c r="B194" s="3" t="s">
        <v>71</v>
      </c>
      <c r="C194" s="3" t="s">
        <v>16</v>
      </c>
      <c r="D194" s="8"/>
      <c r="E194" s="3">
        <v>14</v>
      </c>
      <c r="F194" s="52">
        <v>11180.96</v>
      </c>
      <c r="G194" s="18"/>
    </row>
    <row r="195" spans="2:7" s="3" customFormat="1" x14ac:dyDescent="0.3">
      <c r="B195" s="3" t="s">
        <v>115</v>
      </c>
      <c r="C195" s="3" t="s">
        <v>21</v>
      </c>
      <c r="D195" s="8"/>
      <c r="E195" s="3">
        <v>1</v>
      </c>
      <c r="F195" s="52">
        <v>1478.66</v>
      </c>
      <c r="G195" s="18"/>
    </row>
    <row r="196" spans="2:7" s="3" customFormat="1" x14ac:dyDescent="0.3">
      <c r="B196" s="3" t="s">
        <v>76</v>
      </c>
      <c r="C196" s="3" t="s">
        <v>23</v>
      </c>
      <c r="D196" s="8"/>
      <c r="E196" s="3">
        <v>11</v>
      </c>
      <c r="F196" s="52">
        <v>3789.33</v>
      </c>
      <c r="G196" s="18"/>
    </row>
    <row r="197" spans="2:7" s="3" customFormat="1" x14ac:dyDescent="0.3">
      <c r="B197" s="3" t="s">
        <v>80</v>
      </c>
      <c r="C197" s="3" t="s">
        <v>27</v>
      </c>
      <c r="D197" s="8"/>
      <c r="E197" s="3">
        <v>37</v>
      </c>
      <c r="F197" s="52">
        <v>5405.2</v>
      </c>
      <c r="G197" s="18"/>
    </row>
    <row r="198" spans="2:7" s="3" customFormat="1" x14ac:dyDescent="0.3">
      <c r="B198" s="3" t="s">
        <v>78</v>
      </c>
      <c r="C198" s="3" t="s">
        <v>32</v>
      </c>
      <c r="D198" s="8"/>
      <c r="E198" s="3">
        <v>2</v>
      </c>
      <c r="F198" s="52">
        <v>230.76</v>
      </c>
      <c r="G198" s="18"/>
    </row>
    <row r="199" spans="2:7" s="3" customFormat="1" x14ac:dyDescent="0.3">
      <c r="B199" s="3" t="s">
        <v>85</v>
      </c>
      <c r="C199" s="3" t="s">
        <v>41</v>
      </c>
      <c r="D199" s="8"/>
      <c r="E199" s="3">
        <v>24</v>
      </c>
      <c r="F199" s="52">
        <v>35000</v>
      </c>
      <c r="G199" s="18"/>
    </row>
    <row r="200" spans="2:7" s="3" customFormat="1" x14ac:dyDescent="0.3">
      <c r="B200" s="3" t="s">
        <v>60</v>
      </c>
      <c r="C200" s="3" t="s">
        <v>16</v>
      </c>
      <c r="D200" s="8"/>
      <c r="E200" s="3">
        <v>20</v>
      </c>
      <c r="F200" s="52">
        <v>27727.1</v>
      </c>
      <c r="G200" s="18"/>
    </row>
    <row r="201" spans="2:7" s="3" customFormat="1" x14ac:dyDescent="0.3">
      <c r="B201" s="3" t="s">
        <v>108</v>
      </c>
      <c r="C201" s="3" t="s">
        <v>24</v>
      </c>
      <c r="D201" s="8"/>
      <c r="E201" s="3">
        <v>17</v>
      </c>
      <c r="F201" s="52">
        <v>1522.18</v>
      </c>
      <c r="G201" s="18"/>
    </row>
    <row r="202" spans="2:7" s="3" customFormat="1" x14ac:dyDescent="0.3">
      <c r="B202" s="3" t="s">
        <v>61</v>
      </c>
      <c r="C202" s="3" t="s">
        <v>18</v>
      </c>
      <c r="D202" s="8"/>
      <c r="E202" s="3">
        <v>8</v>
      </c>
      <c r="F202" s="52">
        <v>4061.64</v>
      </c>
      <c r="G202" s="18"/>
    </row>
    <row r="203" spans="2:7" s="3" customFormat="1" x14ac:dyDescent="0.3">
      <c r="B203" s="3" t="s">
        <v>99</v>
      </c>
      <c r="C203" s="3" t="s">
        <v>22</v>
      </c>
      <c r="D203" s="8"/>
      <c r="E203" s="3">
        <v>13</v>
      </c>
      <c r="F203" s="52">
        <v>3724.28</v>
      </c>
      <c r="G203" s="18"/>
    </row>
    <row r="204" spans="2:7" s="3" customFormat="1" x14ac:dyDescent="0.3">
      <c r="B204" s="3" t="s">
        <v>108</v>
      </c>
      <c r="C204" s="3" t="s">
        <v>38</v>
      </c>
      <c r="D204" s="8"/>
      <c r="E204" s="3">
        <v>3</v>
      </c>
      <c r="F204" s="52">
        <v>4621.34</v>
      </c>
      <c r="G204" s="18"/>
    </row>
    <row r="205" spans="2:7" s="3" customFormat="1" x14ac:dyDescent="0.3">
      <c r="B205" s="3" t="s">
        <v>94</v>
      </c>
      <c r="C205" s="3" t="s">
        <v>38</v>
      </c>
      <c r="D205" s="8"/>
      <c r="E205" s="3">
        <v>5</v>
      </c>
      <c r="F205" s="52">
        <v>2074.27</v>
      </c>
      <c r="G205" s="18"/>
    </row>
    <row r="206" spans="2:7" s="3" customFormat="1" x14ac:dyDescent="0.3">
      <c r="B206" s="3" t="s">
        <v>86</v>
      </c>
      <c r="C206" s="3" t="s">
        <v>38</v>
      </c>
      <c r="D206" s="8"/>
      <c r="E206" s="3">
        <v>4</v>
      </c>
      <c r="F206" s="52">
        <v>4447.91</v>
      </c>
      <c r="G206" s="18"/>
    </row>
    <row r="207" spans="2:7" s="3" customFormat="1" x14ac:dyDescent="0.3">
      <c r="B207" s="3" t="s">
        <v>52</v>
      </c>
      <c r="C207" s="3" t="s">
        <v>17</v>
      </c>
      <c r="D207" s="8"/>
      <c r="E207" s="3">
        <v>6</v>
      </c>
      <c r="F207" s="52">
        <v>4573.16</v>
      </c>
      <c r="G207" s="18"/>
    </row>
    <row r="208" spans="2:7" s="3" customFormat="1" x14ac:dyDescent="0.3">
      <c r="B208" s="3" t="s">
        <v>86</v>
      </c>
      <c r="C208" s="3" t="s">
        <v>24</v>
      </c>
      <c r="D208" s="8"/>
      <c r="E208" s="3">
        <v>30</v>
      </c>
      <c r="F208" s="52">
        <v>20000</v>
      </c>
      <c r="G208" s="18"/>
    </row>
    <row r="209" spans="2:7" s="3" customFormat="1" x14ac:dyDescent="0.3">
      <c r="B209" s="3" t="s">
        <v>107</v>
      </c>
      <c r="C209" s="3" t="s">
        <v>42</v>
      </c>
      <c r="D209" s="8"/>
      <c r="E209" s="3">
        <v>4</v>
      </c>
      <c r="F209" s="52">
        <v>9056.98</v>
      </c>
      <c r="G209" s="18"/>
    </row>
    <row r="210" spans="2:7" s="3" customFormat="1" x14ac:dyDescent="0.3">
      <c r="B210" s="3" t="s">
        <v>49</v>
      </c>
      <c r="C210" s="3" t="s">
        <v>15</v>
      </c>
      <c r="D210" s="8"/>
      <c r="E210" s="3">
        <v>2</v>
      </c>
      <c r="F210" s="52">
        <v>10000</v>
      </c>
      <c r="G210" s="18"/>
    </row>
    <row r="211" spans="2:7" s="3" customFormat="1" x14ac:dyDescent="0.3">
      <c r="B211" s="3" t="s">
        <v>78</v>
      </c>
      <c r="C211" s="3" t="s">
        <v>21</v>
      </c>
      <c r="D211" s="8"/>
      <c r="E211" s="3">
        <v>5</v>
      </c>
      <c r="F211" s="52">
        <v>1338.39</v>
      </c>
      <c r="G211" s="18"/>
    </row>
    <row r="212" spans="2:7" s="3" customFormat="1" x14ac:dyDescent="0.3">
      <c r="B212" s="3" t="s">
        <v>73</v>
      </c>
      <c r="C212" s="3" t="s">
        <v>26</v>
      </c>
      <c r="D212" s="8"/>
      <c r="E212" s="3">
        <v>83</v>
      </c>
      <c r="F212" s="52">
        <v>80000</v>
      </c>
      <c r="G212" s="18"/>
    </row>
    <row r="213" spans="2:7" s="3" customFormat="1" x14ac:dyDescent="0.3">
      <c r="B213" s="3" t="s">
        <v>116</v>
      </c>
      <c r="C213" s="3" t="s">
        <v>41</v>
      </c>
      <c r="D213" s="8"/>
      <c r="E213" s="3">
        <v>20</v>
      </c>
      <c r="F213" s="52">
        <v>30000</v>
      </c>
      <c r="G213" s="18"/>
    </row>
    <row r="214" spans="2:7" s="3" customFormat="1" x14ac:dyDescent="0.3">
      <c r="B214" s="3" t="s">
        <v>75</v>
      </c>
      <c r="C214" s="3" t="s">
        <v>16</v>
      </c>
      <c r="D214" s="8"/>
      <c r="E214" s="3">
        <v>18</v>
      </c>
      <c r="F214" s="52">
        <v>6293.33</v>
      </c>
      <c r="G214" s="18"/>
    </row>
    <row r="215" spans="2:7" s="3" customFormat="1" x14ac:dyDescent="0.3">
      <c r="B215" s="3" t="s">
        <v>83</v>
      </c>
      <c r="C215" s="3" t="s">
        <v>42</v>
      </c>
      <c r="D215" s="8"/>
      <c r="E215" s="3">
        <v>2</v>
      </c>
      <c r="F215" s="52">
        <v>7409.9</v>
      </c>
      <c r="G215" s="18"/>
    </row>
    <row r="216" spans="2:7" s="3" customFormat="1" x14ac:dyDescent="0.3">
      <c r="B216" s="3" t="s">
        <v>79</v>
      </c>
      <c r="C216" s="3" t="s">
        <v>16</v>
      </c>
      <c r="D216" s="8"/>
      <c r="E216" s="3">
        <v>19</v>
      </c>
      <c r="F216" s="52">
        <v>12164.5</v>
      </c>
      <c r="G216" s="18"/>
    </row>
    <row r="217" spans="2:7" s="3" customFormat="1" x14ac:dyDescent="0.3">
      <c r="B217" s="3" t="s">
        <v>66</v>
      </c>
      <c r="C217" s="3" t="s">
        <v>28</v>
      </c>
      <c r="D217" s="8"/>
      <c r="E217" s="3">
        <v>26</v>
      </c>
      <c r="F217" s="52">
        <v>440.49</v>
      </c>
      <c r="G217" s="18"/>
    </row>
    <row r="218" spans="2:7" s="3" customFormat="1" x14ac:dyDescent="0.3">
      <c r="B218" s="3" t="s">
        <v>99</v>
      </c>
      <c r="C218" s="3" t="s">
        <v>23</v>
      </c>
      <c r="D218" s="8"/>
      <c r="E218" s="3">
        <v>11</v>
      </c>
      <c r="F218" s="52">
        <v>1555.63</v>
      </c>
      <c r="G218" s="18"/>
    </row>
    <row r="219" spans="2:7" s="3" customFormat="1" x14ac:dyDescent="0.3">
      <c r="B219" s="3" t="s">
        <v>93</v>
      </c>
      <c r="C219" s="3" t="s">
        <v>18</v>
      </c>
      <c r="D219" s="8"/>
      <c r="E219" s="3">
        <v>28</v>
      </c>
      <c r="F219" s="52">
        <v>3103.48</v>
      </c>
      <c r="G219" s="18"/>
    </row>
    <row r="220" spans="2:7" s="3" customFormat="1" x14ac:dyDescent="0.3">
      <c r="B220" s="3" t="s">
        <v>52</v>
      </c>
      <c r="C220" s="3" t="s">
        <v>23</v>
      </c>
      <c r="D220" s="8"/>
      <c r="E220" s="3">
        <v>23</v>
      </c>
      <c r="F220" s="52">
        <v>4796.34</v>
      </c>
      <c r="G220" s="18"/>
    </row>
    <row r="221" spans="2:7" s="3" customFormat="1" x14ac:dyDescent="0.3">
      <c r="B221" s="3" t="s">
        <v>92</v>
      </c>
      <c r="C221" s="3" t="s">
        <v>16</v>
      </c>
      <c r="D221" s="8"/>
      <c r="E221" s="3">
        <v>14</v>
      </c>
      <c r="F221" s="52">
        <v>7001.56</v>
      </c>
      <c r="G221" s="18"/>
    </row>
    <row r="222" spans="2:7" s="3" customFormat="1" x14ac:dyDescent="0.3">
      <c r="B222" s="3" t="s">
        <v>67</v>
      </c>
      <c r="C222" s="3" t="s">
        <v>33</v>
      </c>
      <c r="D222" s="8"/>
      <c r="E222" s="3">
        <v>1</v>
      </c>
      <c r="F222" s="52">
        <v>1193.3499999999999</v>
      </c>
      <c r="G222" s="18"/>
    </row>
    <row r="223" spans="2:7" s="3" customFormat="1" x14ac:dyDescent="0.3">
      <c r="B223" s="3" t="s">
        <v>91</v>
      </c>
      <c r="C223" s="3" t="s">
        <v>32</v>
      </c>
      <c r="D223" s="8"/>
      <c r="E223" s="3">
        <v>1</v>
      </c>
      <c r="F223" s="52">
        <v>194.59</v>
      </c>
      <c r="G223" s="18"/>
    </row>
    <row r="224" spans="2:7" s="3" customFormat="1" x14ac:dyDescent="0.3">
      <c r="B224" s="3" t="s">
        <v>80</v>
      </c>
      <c r="C224" s="3" t="s">
        <v>24</v>
      </c>
      <c r="D224" s="8"/>
      <c r="E224" s="3">
        <v>47</v>
      </c>
      <c r="F224" s="52">
        <v>1654.72</v>
      </c>
      <c r="G224" s="18"/>
    </row>
    <row r="225" spans="2:7" s="3" customFormat="1" x14ac:dyDescent="0.3">
      <c r="B225" s="3" t="s">
        <v>91</v>
      </c>
      <c r="C225" s="3" t="s">
        <v>19</v>
      </c>
      <c r="D225" s="8"/>
      <c r="E225" s="3">
        <v>32</v>
      </c>
      <c r="F225" s="52">
        <v>7329.66</v>
      </c>
      <c r="G225" s="18"/>
    </row>
    <row r="226" spans="2:7" s="3" customFormat="1" x14ac:dyDescent="0.3">
      <c r="B226" s="3" t="s">
        <v>80</v>
      </c>
      <c r="C226" s="3" t="s">
        <v>14</v>
      </c>
      <c r="D226" s="8"/>
      <c r="E226" s="3">
        <v>9</v>
      </c>
      <c r="F226" s="52">
        <v>8389.5300000000007</v>
      </c>
      <c r="G226" s="18"/>
    </row>
    <row r="227" spans="2:7" s="3" customFormat="1" x14ac:dyDescent="0.3">
      <c r="B227" s="3" t="s">
        <v>47</v>
      </c>
      <c r="C227" s="3" t="s">
        <v>23</v>
      </c>
      <c r="D227" s="8"/>
      <c r="E227" s="3">
        <v>14</v>
      </c>
      <c r="F227" s="52">
        <v>2532.5</v>
      </c>
      <c r="G227" s="18"/>
    </row>
    <row r="228" spans="2:7" s="3" customFormat="1" x14ac:dyDescent="0.3">
      <c r="B228" s="3" t="s">
        <v>78</v>
      </c>
      <c r="C228" s="3" t="s">
        <v>37</v>
      </c>
      <c r="D228" s="8"/>
      <c r="E228" s="3">
        <v>5</v>
      </c>
      <c r="F228" s="52">
        <v>1534.07</v>
      </c>
      <c r="G228" s="18"/>
    </row>
    <row r="229" spans="2:7" s="3" customFormat="1" x14ac:dyDescent="0.3">
      <c r="B229" s="3" t="s">
        <v>117</v>
      </c>
      <c r="C229" s="3" t="s">
        <v>33</v>
      </c>
      <c r="D229" s="8"/>
      <c r="E229" s="3">
        <v>1</v>
      </c>
      <c r="F229" s="52">
        <v>352.55</v>
      </c>
      <c r="G229" s="18"/>
    </row>
    <row r="230" spans="2:7" s="3" customFormat="1" x14ac:dyDescent="0.3">
      <c r="B230" s="3" t="s">
        <v>78</v>
      </c>
      <c r="C230" s="3" t="s">
        <v>20</v>
      </c>
      <c r="D230" s="8"/>
      <c r="E230" s="3">
        <v>14</v>
      </c>
      <c r="F230" s="52">
        <v>1364.55</v>
      </c>
      <c r="G230" s="18"/>
    </row>
    <row r="231" spans="2:7" s="3" customFormat="1" x14ac:dyDescent="0.3">
      <c r="B231" s="3" t="s">
        <v>77</v>
      </c>
      <c r="C231" s="3" t="s">
        <v>20</v>
      </c>
      <c r="D231" s="8"/>
      <c r="E231" s="3">
        <v>9</v>
      </c>
      <c r="F231" s="52">
        <v>2596.7199999999998</v>
      </c>
      <c r="G231" s="18"/>
    </row>
    <row r="232" spans="2:7" s="3" customFormat="1" x14ac:dyDescent="0.3">
      <c r="B232" s="3" t="s">
        <v>99</v>
      </c>
      <c r="C232" s="3" t="s">
        <v>37</v>
      </c>
      <c r="D232" s="8"/>
      <c r="E232" s="3">
        <v>4</v>
      </c>
      <c r="F232" s="52">
        <v>3149.81</v>
      </c>
      <c r="G232" s="18"/>
    </row>
    <row r="233" spans="2:7" s="3" customFormat="1" x14ac:dyDescent="0.3">
      <c r="B233" s="3" t="s">
        <v>85</v>
      </c>
      <c r="C233" s="3" t="s">
        <v>37</v>
      </c>
      <c r="D233" s="8"/>
      <c r="E233" s="3">
        <v>5</v>
      </c>
      <c r="F233" s="52">
        <v>2621.46</v>
      </c>
      <c r="G233" s="18"/>
    </row>
    <row r="234" spans="2:7" s="3" customFormat="1" x14ac:dyDescent="0.3">
      <c r="B234" s="3" t="s">
        <v>65</v>
      </c>
      <c r="C234" s="3" t="s">
        <v>38</v>
      </c>
      <c r="D234" s="8"/>
      <c r="E234" s="3">
        <v>4</v>
      </c>
      <c r="F234" s="52">
        <v>4177.34</v>
      </c>
      <c r="G234" s="18"/>
    </row>
    <row r="235" spans="2:7" s="3" customFormat="1" x14ac:dyDescent="0.3">
      <c r="B235" s="3" t="s">
        <v>54</v>
      </c>
      <c r="C235" s="3" t="s">
        <v>37</v>
      </c>
      <c r="D235" s="8"/>
      <c r="E235" s="3">
        <v>2</v>
      </c>
      <c r="F235" s="52">
        <v>2522.81</v>
      </c>
      <c r="G235" s="18"/>
    </row>
    <row r="236" spans="2:7" s="3" customFormat="1" x14ac:dyDescent="0.3">
      <c r="B236" s="3" t="s">
        <v>90</v>
      </c>
      <c r="C236" s="3" t="s">
        <v>37</v>
      </c>
      <c r="D236" s="8"/>
      <c r="E236" s="3">
        <v>6</v>
      </c>
      <c r="F236" s="52">
        <v>3776.1</v>
      </c>
      <c r="G236" s="18"/>
    </row>
    <row r="237" spans="2:7" s="3" customFormat="1" x14ac:dyDescent="0.3">
      <c r="B237" s="3" t="s">
        <v>94</v>
      </c>
      <c r="C237" s="3" t="s">
        <v>32</v>
      </c>
      <c r="D237" s="8"/>
      <c r="E237" s="3">
        <v>5</v>
      </c>
      <c r="F237" s="52">
        <v>513.37</v>
      </c>
      <c r="G237" s="18"/>
    </row>
    <row r="238" spans="2:7" s="3" customFormat="1" x14ac:dyDescent="0.3">
      <c r="B238" s="3" t="s">
        <v>118</v>
      </c>
      <c r="C238" s="3" t="s">
        <v>32</v>
      </c>
      <c r="D238" s="8"/>
      <c r="E238" s="3">
        <v>2</v>
      </c>
      <c r="F238" s="52">
        <v>600.53</v>
      </c>
      <c r="G238" s="18"/>
    </row>
    <row r="239" spans="2:7" s="3" customFormat="1" x14ac:dyDescent="0.3">
      <c r="B239" s="3" t="s">
        <v>79</v>
      </c>
      <c r="C239" s="3" t="s">
        <v>38</v>
      </c>
      <c r="D239" s="8"/>
      <c r="E239" s="3">
        <v>3</v>
      </c>
      <c r="F239" s="52">
        <v>4171.32</v>
      </c>
      <c r="G239" s="18"/>
    </row>
    <row r="240" spans="2:7" s="3" customFormat="1" x14ac:dyDescent="0.3">
      <c r="B240" s="3" t="s">
        <v>60</v>
      </c>
      <c r="C240" s="3" t="s">
        <v>15</v>
      </c>
      <c r="D240" s="8"/>
      <c r="E240" s="3">
        <v>2</v>
      </c>
      <c r="F240" s="52">
        <v>10000</v>
      </c>
      <c r="G240" s="18"/>
    </row>
    <row r="241" spans="2:7" s="3" customFormat="1" x14ac:dyDescent="0.3">
      <c r="B241" s="3" t="s">
        <v>109</v>
      </c>
      <c r="C241" s="3" t="s">
        <v>14</v>
      </c>
      <c r="D241" s="8"/>
      <c r="E241" s="3">
        <v>8</v>
      </c>
      <c r="F241" s="52">
        <v>11427.19</v>
      </c>
      <c r="G241" s="18"/>
    </row>
    <row r="242" spans="2:7" s="3" customFormat="1" x14ac:dyDescent="0.3">
      <c r="B242" s="3" t="s">
        <v>54</v>
      </c>
      <c r="C242" s="3" t="s">
        <v>42</v>
      </c>
      <c r="D242" s="8"/>
      <c r="E242" s="3">
        <v>13</v>
      </c>
      <c r="F242" s="52">
        <v>9314.81</v>
      </c>
      <c r="G242" s="18"/>
    </row>
    <row r="243" spans="2:7" s="3" customFormat="1" x14ac:dyDescent="0.3">
      <c r="B243" s="3" t="s">
        <v>103</v>
      </c>
      <c r="C243" s="3" t="s">
        <v>16</v>
      </c>
      <c r="D243" s="8"/>
      <c r="E243" s="3">
        <v>6</v>
      </c>
      <c r="F243" s="52">
        <v>5443.28</v>
      </c>
      <c r="G243" s="18"/>
    </row>
    <row r="244" spans="2:7" s="3" customFormat="1" x14ac:dyDescent="0.3">
      <c r="B244" s="3" t="s">
        <v>111</v>
      </c>
      <c r="C244" s="3" t="s">
        <v>24</v>
      </c>
      <c r="D244" s="8"/>
      <c r="E244" s="3">
        <v>56</v>
      </c>
      <c r="F244" s="52">
        <v>52000</v>
      </c>
      <c r="G244" s="18"/>
    </row>
    <row r="245" spans="2:7" s="3" customFormat="1" x14ac:dyDescent="0.3">
      <c r="B245" s="3" t="s">
        <v>116</v>
      </c>
      <c r="C245" s="3" t="s">
        <v>33</v>
      </c>
      <c r="D245" s="8"/>
      <c r="E245" s="3">
        <v>1</v>
      </c>
      <c r="F245" s="52">
        <v>1059.48</v>
      </c>
      <c r="G245" s="18"/>
    </row>
    <row r="246" spans="2:7" s="3" customFormat="1" x14ac:dyDescent="0.3">
      <c r="B246" s="3" t="s">
        <v>79</v>
      </c>
      <c r="C246" s="3" t="s">
        <v>37</v>
      </c>
      <c r="D246" s="8"/>
      <c r="E246" s="3">
        <v>7</v>
      </c>
      <c r="F246" s="52">
        <v>3651.78</v>
      </c>
      <c r="G246" s="18"/>
    </row>
    <row r="247" spans="2:7" s="3" customFormat="1" x14ac:dyDescent="0.3">
      <c r="B247" s="3" t="s">
        <v>54</v>
      </c>
      <c r="C247" s="3" t="s">
        <v>32</v>
      </c>
      <c r="D247" s="8"/>
      <c r="E247" s="3">
        <v>4</v>
      </c>
      <c r="F247" s="52">
        <v>284.81</v>
      </c>
      <c r="G247" s="18"/>
    </row>
    <row r="248" spans="2:7" s="3" customFormat="1" x14ac:dyDescent="0.3">
      <c r="B248" s="3" t="s">
        <v>70</v>
      </c>
      <c r="C248" s="3" t="s">
        <v>26</v>
      </c>
      <c r="D248" s="8"/>
      <c r="E248" s="3">
        <v>21</v>
      </c>
      <c r="F248" s="52">
        <v>5433.3</v>
      </c>
      <c r="G248" s="18"/>
    </row>
    <row r="249" spans="2:7" s="3" customFormat="1" x14ac:dyDescent="0.3">
      <c r="B249" s="3" t="s">
        <v>52</v>
      </c>
      <c r="C249" s="3" t="s">
        <v>27</v>
      </c>
      <c r="D249" s="8"/>
      <c r="E249" s="3">
        <v>11</v>
      </c>
      <c r="F249" s="52">
        <v>5641.15</v>
      </c>
      <c r="G249" s="18"/>
    </row>
    <row r="250" spans="2:7" x14ac:dyDescent="0.3">
      <c r="B250" s="37">
        <v>46117</v>
      </c>
      <c r="C250" s="43" t="s">
        <v>16</v>
      </c>
      <c r="D250" s="38">
        <v>122</v>
      </c>
      <c r="E250" s="39"/>
      <c r="F250" s="49">
        <v>60000</v>
      </c>
      <c r="G250" s="40"/>
    </row>
  </sheetData>
  <conditionalFormatting sqref="D4:D250">
    <cfRule type="expression" dxfId="11" priority="2">
      <formula>$D4 &gt; 0</formula>
    </cfRule>
  </conditionalFormatting>
  <conditionalFormatting sqref="E4:E250">
    <cfRule type="expression" dxfId="10" priority="1">
      <formula>$E4 &gt;0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ESTOQUE</vt:lpstr>
      <vt:lpstr>MOVIMENTAÇÕES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de Logístic</dc:creator>
  <cp:lastModifiedBy>Estagiario Fiscal</cp:lastModifiedBy>
  <dcterms:created xsi:type="dcterms:W3CDTF">2025-10-14T19:27:00Z</dcterms:created>
  <dcterms:modified xsi:type="dcterms:W3CDTF">2026-04-09T20:06:28Z</dcterms:modified>
</cp:coreProperties>
</file>